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arum\Downloads\"/>
    </mc:Choice>
  </mc:AlternateContent>
  <xr:revisionPtr revIDLastSave="0" documentId="13_ncr:1_{18158993-01A6-4897-A787-85C468C3D8C8}" xr6:coauthVersionLast="47" xr6:coauthVersionMax="47" xr10:uidLastSave="{00000000-0000-0000-0000-000000000000}"/>
  <bookViews>
    <workbookView xWindow="-120" yWindow="-120" windowWidth="20730" windowHeight="11160" activeTab="2" xr2:uid="{00000000-000D-0000-FFFF-FFFF00000000}"/>
  </bookViews>
  <sheets>
    <sheet name="CUÁNTOS SOMOS " sheetId="1" r:id="rId1"/>
    <sheet name="DÓNDE ESTAMOS" sheetId="2" r:id="rId2"/>
    <sheet name="CÓMO VIVIMOS" sheetId="3" r:id="rId3"/>
    <sheet name="Entrega "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p+66wZ9DuXG3BJ1CSaFA9ukCHkWnC0KWyTgaOm+6fAk="/>
    </ext>
  </extLst>
</workbook>
</file>

<file path=xl/calcChain.xml><?xml version="1.0" encoding="utf-8"?>
<calcChain xmlns="http://schemas.openxmlformats.org/spreadsheetml/2006/main">
  <c r="D15" i="3" l="1"/>
  <c r="C15" i="3" s="1"/>
  <c r="D14" i="3"/>
  <c r="C14" i="3" s="1"/>
  <c r="D13" i="3"/>
  <c r="C13" i="3" s="1"/>
  <c r="D12" i="3"/>
  <c r="C12" i="3" s="1"/>
  <c r="D11" i="3"/>
  <c r="C11" i="3" s="1"/>
  <c r="D10" i="3"/>
  <c r="C10" i="3" s="1"/>
  <c r="D9" i="3"/>
  <c r="C9" i="3" s="1"/>
  <c r="D8" i="3"/>
  <c r="C8" i="3" s="1"/>
  <c r="D7" i="3"/>
  <c r="C7" i="3" s="1"/>
  <c r="D6" i="3"/>
  <c r="C6" i="3" s="1"/>
  <c r="D5" i="3"/>
  <c r="C5" i="3" s="1"/>
  <c r="D4" i="3"/>
  <c r="C4" i="3" s="1"/>
  <c r="D3" i="3"/>
  <c r="C3" i="3" s="1"/>
  <c r="D8" i="2"/>
  <c r="C8" i="2" s="1"/>
  <c r="D7" i="2"/>
  <c r="C7" i="2" s="1"/>
  <c r="D6" i="2"/>
  <c r="C6" i="2" s="1"/>
  <c r="D5" i="2"/>
  <c r="C5" i="2" s="1"/>
  <c r="D4" i="2"/>
  <c r="C4" i="2" s="1"/>
  <c r="D3" i="2"/>
  <c r="C3" i="2" s="1"/>
  <c r="D7" i="1"/>
  <c r="C7" i="1" s="1"/>
  <c r="D6" i="1"/>
  <c r="C6" i="1" s="1"/>
  <c r="D5" i="1"/>
  <c r="C5" i="1" s="1"/>
  <c r="D4" i="1"/>
  <c r="C4" i="1" s="1"/>
  <c r="D3" i="1"/>
  <c r="C3" i="1" s="1"/>
</calcChain>
</file>

<file path=xl/sharedStrings.xml><?xml version="1.0" encoding="utf-8"?>
<sst xmlns="http://schemas.openxmlformats.org/spreadsheetml/2006/main" count="55" uniqueCount="42">
  <si>
    <t>Total de personas censadas</t>
  </si>
  <si>
    <t xml:space="preserve">VARIABLES </t>
  </si>
  <si>
    <t xml:space="preserve">ETIQUETA </t>
  </si>
  <si>
    <t>Frecuencia</t>
  </si>
  <si>
    <t>Llenar</t>
  </si>
  <si>
    <t xml:space="preserve">GENERO </t>
  </si>
  <si>
    <t>Hombre</t>
  </si>
  <si>
    <t>Mujer</t>
  </si>
  <si>
    <t>EDADES</t>
  </si>
  <si>
    <t>0 - 14</t>
  </si>
  <si>
    <t>15 - 65</t>
  </si>
  <si>
    <t>≥ 65</t>
  </si>
  <si>
    <t>FRECUENCIA PORCENTUAL</t>
  </si>
  <si>
    <t>Ditribuación de población</t>
  </si>
  <si>
    <t>C. Municipal</t>
  </si>
  <si>
    <t>Centros poblados</t>
  </si>
  <si>
    <t>Rural</t>
  </si>
  <si>
    <t>Lugar de nacimiento</t>
  </si>
  <si>
    <t>Colombia</t>
  </si>
  <si>
    <t>Otro pais</t>
  </si>
  <si>
    <t>Sin información</t>
  </si>
  <si>
    <t>E. Electrica</t>
  </si>
  <si>
    <t xml:space="preserve">Acueducto </t>
  </si>
  <si>
    <t>Alcantarillado</t>
  </si>
  <si>
    <t xml:space="preserve">Gas </t>
  </si>
  <si>
    <t>Aseo</t>
  </si>
  <si>
    <t>Internet</t>
  </si>
  <si>
    <t>N° Personas en el hogar</t>
  </si>
  <si>
    <t>1 Persona</t>
  </si>
  <si>
    <t>2 Personas</t>
  </si>
  <si>
    <t>3 Personas</t>
  </si>
  <si>
    <t>4 personas</t>
  </si>
  <si>
    <t xml:space="preserve">5 Personas y mas  </t>
  </si>
  <si>
    <t>Jefatura del hogar</t>
  </si>
  <si>
    <t>Realice un análisis detallado de la información y revise si existen gráficos estadísticos que soporten dicha información, en caso de no encontrarlos, elabórelos. (Por ejemplo, histogramas, diagramas de barras, diagramas circulares, entre otros, dependiendo de las variables analizadas).</t>
  </si>
  <si>
    <t>Histograma</t>
  </si>
  <si>
    <t>A partir de la información consultada, determine las variables que fueron objeto de medición en este censo, y precise a partir de ello, cómo estos datos son esenciales para determinar el desarrollo de las variables demográficas. (Por ejemplo, el tamaño de los hogares, el índice de envejecimiento, el índice de juventud, los fenómenos migratorios dentro del país y, desde y hacia el exterior, por mencionar algunos).</t>
  </si>
  <si>
    <t xml:space="preserve">Grafica de barras </t>
  </si>
  <si>
    <t>https://atomisystems.com/download/</t>
  </si>
  <si>
    <t xml:space="preserve">Variables </t>
  </si>
  <si>
    <t xml:space="preserve">Diagrama circular </t>
  </si>
  <si>
    <t>Servicios publicos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</si>
</sst>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
    <numFmt numFmtId="165" formatCode="0.0%"/>
  </numFmts>
  <fonts count="10" x14ac:knownFonts="1">
    <font>
      <sz val="11"/>
      <color theme="1"/>
      <name val="Calibri"/>
      <scheme val="minor"/>
    </font>
    <font>
      <b/>
      <sz val="12"/>
      <color theme="1"/>
      <name val="Calibri"/>
    </font>
    <font>
      <sz val="11"/>
      <name val="Calibri"/>
    </font>
    <font>
      <b/>
      <sz val="12"/>
      <color rgb="FFFF0000"/>
      <name val="Calibri"/>
    </font>
    <font>
      <b/>
      <sz val="11"/>
      <color rgb="FFFF0000"/>
      <name val="Calibri"/>
    </font>
    <font>
      <sz val="11"/>
      <color theme="1"/>
      <name val="Calibri"/>
    </font>
    <font>
      <sz val="12"/>
      <color theme="1"/>
      <name val="Calibri"/>
    </font>
    <font>
      <b/>
      <sz val="11"/>
      <color theme="1"/>
      <name val="Calibri"/>
    </font>
    <font>
      <sz val="16"/>
      <color theme="1"/>
      <name val="Calibri"/>
    </font>
    <font>
      <u/>
      <sz val="11"/>
      <color theme="10"/>
      <name val="Calibri"/>
    </font>
  </fonts>
  <fills count="8">
    <fill>
      <patternFill patternType="none"/>
    </fill>
    <fill>
      <patternFill patternType="gray125"/>
    </fill>
    <fill>
      <patternFill patternType="solid">
        <fgColor rgb="FFE7E6E6"/>
        <bgColor rgb="FFE7E6E6"/>
      </patternFill>
    </fill>
    <fill>
      <patternFill patternType="solid">
        <fgColor rgb="FFFBE4D5"/>
        <bgColor rgb="FFFBE4D5"/>
      </patternFill>
    </fill>
    <fill>
      <patternFill patternType="solid">
        <fgColor rgb="FFFFFF00"/>
        <bgColor rgb="FFFFFF00"/>
      </patternFill>
    </fill>
    <fill>
      <patternFill patternType="solid">
        <fgColor theme="0"/>
        <bgColor theme="0"/>
      </patternFill>
    </fill>
    <fill>
      <patternFill patternType="solid">
        <fgColor rgb="FFDEEAF6"/>
        <bgColor rgb="FFDEEAF6"/>
      </patternFill>
    </fill>
    <fill>
      <patternFill patternType="solid">
        <fgColor rgb="FFFFE598"/>
        <bgColor rgb="FFFFE598"/>
      </patternFill>
    </fill>
  </fills>
  <borders count="61">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top/>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diagonal/>
    </border>
    <border>
      <left style="medium">
        <color rgb="FF000000"/>
      </left>
      <right style="medium">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diagonal/>
    </border>
    <border>
      <left/>
      <right/>
      <top style="medium">
        <color indexed="64"/>
      </top>
      <bottom style="thin">
        <color rgb="FF000000"/>
      </bottom>
      <diagonal/>
    </border>
    <border>
      <left/>
      <right/>
      <top style="thin">
        <color rgb="FF000000"/>
      </top>
      <bottom style="medium">
        <color indexed="64"/>
      </bottom>
      <diagonal/>
    </border>
    <border>
      <left/>
      <right/>
      <top/>
      <bottom style="thin">
        <color rgb="FF000000"/>
      </bottom>
      <diagonal/>
    </border>
    <border>
      <left/>
      <right/>
      <top style="thin">
        <color rgb="FF000000"/>
      </top>
      <bottom style="thin">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style="medium">
        <color indexed="64"/>
      </right>
      <top style="thin">
        <color rgb="FF000000"/>
      </top>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s>
  <cellStyleXfs count="1">
    <xf numFmtId="0" fontId="0" fillId="0" borderId="0"/>
  </cellStyleXfs>
  <cellXfs count="107">
    <xf numFmtId="0" fontId="0" fillId="0" borderId="0" xfId="0"/>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5" fillId="0" borderId="0" xfId="0" applyFont="1" applyAlignment="1">
      <alignment wrapText="1"/>
    </xf>
    <xf numFmtId="0" fontId="1" fillId="3" borderId="8" xfId="0" applyFont="1" applyFill="1" applyBorder="1" applyAlignment="1">
      <alignment horizontal="center" vertical="center"/>
    </xf>
    <xf numFmtId="0" fontId="4" fillId="5" borderId="9" xfId="0" applyFont="1" applyFill="1" applyBorder="1" applyAlignment="1">
      <alignment horizontal="center" vertical="center"/>
    </xf>
    <xf numFmtId="0" fontId="4" fillId="5" borderId="13" xfId="0" applyFont="1" applyFill="1" applyBorder="1" applyAlignment="1">
      <alignment horizontal="center" vertical="center"/>
    </xf>
    <xf numFmtId="0" fontId="4" fillId="5" borderId="18" xfId="0" applyFont="1" applyFill="1" applyBorder="1" applyAlignment="1">
      <alignment horizontal="center" vertical="center"/>
    </xf>
    <xf numFmtId="0" fontId="1" fillId="6" borderId="20" xfId="0" applyFont="1" applyFill="1" applyBorder="1" applyAlignment="1">
      <alignment horizontal="center"/>
    </xf>
    <xf numFmtId="0" fontId="3" fillId="5" borderId="22" xfId="0" applyFont="1" applyFill="1" applyBorder="1" applyAlignment="1">
      <alignment horizontal="center" vertical="center"/>
    </xf>
    <xf numFmtId="1" fontId="6" fillId="3" borderId="23" xfId="0" applyNumberFormat="1" applyFont="1" applyFill="1" applyBorder="1" applyAlignment="1">
      <alignment horizontal="center" vertical="center" wrapText="1"/>
    </xf>
    <xf numFmtId="165" fontId="6" fillId="3" borderId="4" xfId="0" applyNumberFormat="1" applyFont="1" applyFill="1" applyBorder="1" applyAlignment="1">
      <alignment horizontal="center" vertical="center" wrapText="1"/>
    </xf>
    <xf numFmtId="0" fontId="1" fillId="3" borderId="25" xfId="0" applyFont="1" applyFill="1" applyBorder="1" applyAlignment="1">
      <alignment horizontal="center" vertical="center" wrapText="1"/>
    </xf>
    <xf numFmtId="1" fontId="6" fillId="3" borderId="26" xfId="0" applyNumberFormat="1" applyFont="1" applyFill="1" applyBorder="1" applyAlignment="1">
      <alignment horizontal="center" vertical="center" wrapText="1"/>
    </xf>
    <xf numFmtId="165" fontId="6" fillId="3" borderId="27" xfId="0" applyNumberFormat="1" applyFont="1" applyFill="1" applyBorder="1" applyAlignment="1">
      <alignment horizontal="center" vertical="center" wrapText="1"/>
    </xf>
    <xf numFmtId="0" fontId="1" fillId="3" borderId="11" xfId="0" applyFont="1" applyFill="1" applyBorder="1" applyAlignment="1">
      <alignment horizontal="center" vertical="center" wrapText="1"/>
    </xf>
    <xf numFmtId="1" fontId="6" fillId="3" borderId="28" xfId="0" applyNumberFormat="1" applyFont="1" applyFill="1" applyBorder="1" applyAlignment="1">
      <alignment horizontal="center" vertical="center" wrapText="1"/>
    </xf>
    <xf numFmtId="165" fontId="6" fillId="3" borderId="12" xfId="0" applyNumberFormat="1" applyFont="1" applyFill="1" applyBorder="1" applyAlignment="1">
      <alignment horizontal="center" vertical="center" wrapText="1"/>
    </xf>
    <xf numFmtId="0" fontId="1" fillId="6" borderId="8" xfId="0" applyFont="1" applyFill="1" applyBorder="1" applyAlignment="1">
      <alignment horizontal="center" wrapText="1"/>
    </xf>
    <xf numFmtId="1" fontId="6" fillId="6" borderId="23" xfId="0" applyNumberFormat="1" applyFont="1" applyFill="1" applyBorder="1" applyAlignment="1">
      <alignment horizontal="center" wrapText="1"/>
    </xf>
    <xf numFmtId="165" fontId="6" fillId="6" borderId="4" xfId="0" applyNumberFormat="1" applyFont="1" applyFill="1" applyBorder="1" applyAlignment="1">
      <alignment horizontal="center" wrapText="1"/>
    </xf>
    <xf numFmtId="0" fontId="1" fillId="6" borderId="16" xfId="0" applyFont="1" applyFill="1" applyBorder="1" applyAlignment="1">
      <alignment horizontal="center" wrapText="1"/>
    </xf>
    <xf numFmtId="1" fontId="6" fillId="6" borderId="29" xfId="0" applyNumberFormat="1" applyFont="1" applyFill="1" applyBorder="1" applyAlignment="1">
      <alignment horizontal="center" wrapText="1"/>
    </xf>
    <xf numFmtId="165" fontId="6" fillId="6" borderId="17" xfId="0" applyNumberFormat="1" applyFont="1" applyFill="1" applyBorder="1" applyAlignment="1">
      <alignment horizontal="center" wrapText="1"/>
    </xf>
    <xf numFmtId="1" fontId="6" fillId="6" borderId="30" xfId="0" applyNumberFormat="1" applyFont="1" applyFill="1" applyBorder="1" applyAlignment="1">
      <alignment horizontal="center" wrapText="1"/>
    </xf>
    <xf numFmtId="165" fontId="6" fillId="6" borderId="21" xfId="0" applyNumberFormat="1" applyFont="1" applyFill="1" applyBorder="1" applyAlignment="1">
      <alignment horizontal="center" wrapText="1"/>
    </xf>
    <xf numFmtId="0" fontId="3" fillId="5" borderId="22" xfId="0" applyFont="1" applyFill="1" applyBorder="1" applyAlignment="1">
      <alignment horizontal="center" vertical="center" wrapText="1"/>
    </xf>
    <xf numFmtId="0" fontId="1" fillId="3" borderId="31" xfId="0" applyFont="1" applyFill="1" applyBorder="1" applyAlignment="1">
      <alignment horizontal="center" vertical="center"/>
    </xf>
    <xf numFmtId="0" fontId="5" fillId="0" borderId="9" xfId="0" applyFont="1" applyBorder="1" applyAlignment="1">
      <alignment horizontal="center" vertical="center"/>
    </xf>
    <xf numFmtId="0" fontId="1" fillId="3" borderId="32" xfId="0" applyFont="1" applyFill="1" applyBorder="1" applyAlignment="1">
      <alignment horizontal="center" vertical="center"/>
    </xf>
    <xf numFmtId="1" fontId="6" fillId="3" borderId="29" xfId="0" applyNumberFormat="1" applyFont="1" applyFill="1" applyBorder="1" applyAlignment="1">
      <alignment horizontal="center" vertical="center" wrapText="1"/>
    </xf>
    <xf numFmtId="165" fontId="6" fillId="3" borderId="17" xfId="0" applyNumberFormat="1" applyFont="1" applyFill="1" applyBorder="1" applyAlignment="1">
      <alignment horizontal="center" vertical="center" wrapText="1"/>
    </xf>
    <xf numFmtId="0" fontId="5" fillId="0" borderId="18" xfId="0" applyFont="1" applyBorder="1" applyAlignment="1">
      <alignment horizontal="center" vertical="center"/>
    </xf>
    <xf numFmtId="0" fontId="1" fillId="3" borderId="32" xfId="0" applyFont="1" applyFill="1" applyBorder="1" applyAlignment="1">
      <alignment horizontal="center" vertical="center" wrapText="1"/>
    </xf>
    <xf numFmtId="0" fontId="1" fillId="3" borderId="33" xfId="0" applyFont="1" applyFill="1" applyBorder="1" applyAlignment="1">
      <alignment horizontal="center" vertical="center" wrapText="1"/>
    </xf>
    <xf numFmtId="1" fontId="6" fillId="3" borderId="30" xfId="0" applyNumberFormat="1" applyFont="1" applyFill="1" applyBorder="1" applyAlignment="1">
      <alignment horizontal="center" vertical="center" wrapText="1"/>
    </xf>
    <xf numFmtId="165" fontId="6" fillId="3" borderId="21" xfId="0" applyNumberFormat="1" applyFont="1" applyFill="1" applyBorder="1" applyAlignment="1">
      <alignment horizontal="center" vertical="center" wrapText="1"/>
    </xf>
    <xf numFmtId="0" fontId="5" fillId="0" borderId="13" xfId="0" applyFont="1" applyBorder="1" applyAlignment="1">
      <alignment horizontal="center" vertical="center"/>
    </xf>
    <xf numFmtId="0" fontId="1" fillId="6" borderId="34" xfId="0" applyFont="1" applyFill="1" applyBorder="1" applyAlignment="1">
      <alignment horizontal="center" wrapText="1"/>
    </xf>
    <xf numFmtId="1" fontId="6" fillId="6" borderId="35" xfId="0" applyNumberFormat="1" applyFont="1" applyFill="1" applyBorder="1" applyAlignment="1">
      <alignment horizontal="center" wrapText="1"/>
    </xf>
    <xf numFmtId="165" fontId="6" fillId="6" borderId="36" xfId="0" applyNumberFormat="1" applyFont="1" applyFill="1" applyBorder="1" applyAlignment="1">
      <alignment horizontal="center" wrapText="1"/>
    </xf>
    <xf numFmtId="0" fontId="1" fillId="6" borderId="11" xfId="0" applyFont="1" applyFill="1" applyBorder="1" applyAlignment="1">
      <alignment horizontal="center"/>
    </xf>
    <xf numFmtId="1" fontId="6" fillId="6" borderId="28" xfId="0" applyNumberFormat="1" applyFont="1" applyFill="1" applyBorder="1" applyAlignment="1">
      <alignment horizontal="center" wrapText="1"/>
    </xf>
    <xf numFmtId="165" fontId="6" fillId="6" borderId="12" xfId="0" applyNumberFormat="1" applyFont="1" applyFill="1" applyBorder="1" applyAlignment="1">
      <alignment horizontal="center" wrapText="1"/>
    </xf>
    <xf numFmtId="0" fontId="7" fillId="7" borderId="8" xfId="0" applyFont="1" applyFill="1" applyBorder="1" applyAlignment="1">
      <alignment horizontal="center" vertical="center"/>
    </xf>
    <xf numFmtId="1" fontId="5" fillId="7" borderId="23" xfId="0" applyNumberFormat="1" applyFont="1" applyFill="1" applyBorder="1" applyAlignment="1">
      <alignment horizontal="center"/>
    </xf>
    <xf numFmtId="165" fontId="5" fillId="7" borderId="4" xfId="0" applyNumberFormat="1" applyFont="1" applyFill="1" applyBorder="1" applyAlignment="1">
      <alignment horizontal="center"/>
    </xf>
    <xf numFmtId="0" fontId="5" fillId="0" borderId="38" xfId="0" applyFont="1" applyBorder="1" applyAlignment="1">
      <alignment horizontal="center" vertical="center"/>
    </xf>
    <xf numFmtId="0" fontId="7" fillId="7" borderId="20" xfId="0" applyFont="1" applyFill="1" applyBorder="1" applyAlignment="1">
      <alignment horizontal="center" vertical="center"/>
    </xf>
    <xf numFmtId="1" fontId="5" fillId="7" borderId="30" xfId="0" applyNumberFormat="1" applyFont="1" applyFill="1" applyBorder="1" applyAlignment="1">
      <alignment horizontal="center"/>
    </xf>
    <xf numFmtId="165" fontId="5" fillId="7" borderId="21" xfId="0" applyNumberFormat="1" applyFont="1" applyFill="1" applyBorder="1" applyAlignment="1">
      <alignment horizontal="center"/>
    </xf>
    <xf numFmtId="0" fontId="4" fillId="4" borderId="22" xfId="0" applyFont="1" applyFill="1" applyBorder="1" applyAlignment="1">
      <alignment horizontal="center"/>
    </xf>
    <xf numFmtId="0" fontId="5" fillId="0" borderId="0" xfId="0" applyFont="1" applyAlignment="1">
      <alignment horizontal="center"/>
    </xf>
    <xf numFmtId="0" fontId="4" fillId="4" borderId="22" xfId="0" applyFont="1" applyFill="1" applyBorder="1"/>
    <xf numFmtId="164" fontId="3" fillId="3" borderId="47" xfId="0" applyNumberFormat="1" applyFont="1" applyFill="1" applyBorder="1" applyAlignment="1">
      <alignment horizontal="center" vertical="center"/>
    </xf>
    <xf numFmtId="0" fontId="1" fillId="4" borderId="48" xfId="0" applyFont="1" applyFill="1" applyBorder="1" applyAlignment="1">
      <alignment horizontal="center" vertical="center" wrapText="1"/>
    </xf>
    <xf numFmtId="0" fontId="1" fillId="4" borderId="51" xfId="0" applyFont="1" applyFill="1" applyBorder="1" applyAlignment="1">
      <alignment horizontal="center" vertical="center" wrapText="1"/>
    </xf>
    <xf numFmtId="0" fontId="1" fillId="3" borderId="52" xfId="0" applyFont="1" applyFill="1" applyBorder="1" applyAlignment="1">
      <alignment horizontal="center" vertical="center"/>
    </xf>
    <xf numFmtId="0" fontId="1" fillId="3" borderId="53" xfId="0" applyFont="1" applyFill="1" applyBorder="1" applyAlignment="1">
      <alignment horizontal="center" vertical="center"/>
    </xf>
    <xf numFmtId="0" fontId="1" fillId="6" borderId="54" xfId="0" applyFont="1" applyFill="1" applyBorder="1" applyAlignment="1">
      <alignment horizontal="center"/>
    </xf>
    <xf numFmtId="0" fontId="1" fillId="6" borderId="55" xfId="0" applyFont="1" applyFill="1" applyBorder="1" applyAlignment="1">
      <alignment horizontal="center"/>
    </xf>
    <xf numFmtId="0" fontId="1" fillId="6" borderId="53" xfId="0" applyFont="1" applyFill="1" applyBorder="1" applyAlignment="1">
      <alignment horizontal="center"/>
    </xf>
    <xf numFmtId="10" fontId="6" fillId="3" borderId="52" xfId="0" applyNumberFormat="1" applyFont="1" applyFill="1" applyBorder="1" applyAlignment="1">
      <alignment horizontal="center" vertical="center"/>
    </xf>
    <xf numFmtId="10" fontId="6" fillId="3" borderId="53" xfId="0" applyNumberFormat="1" applyFont="1" applyFill="1" applyBorder="1" applyAlignment="1">
      <alignment horizontal="center" vertical="center"/>
    </xf>
    <xf numFmtId="10" fontId="6" fillId="6" borderId="54" xfId="0" applyNumberFormat="1" applyFont="1" applyFill="1" applyBorder="1" applyAlignment="1">
      <alignment horizontal="center"/>
    </xf>
    <xf numFmtId="10" fontId="6" fillId="6" borderId="55" xfId="0" applyNumberFormat="1" applyFont="1" applyFill="1" applyBorder="1" applyAlignment="1">
      <alignment horizontal="center"/>
    </xf>
    <xf numFmtId="10" fontId="6" fillId="6" borderId="53" xfId="0" applyNumberFormat="1" applyFont="1" applyFill="1" applyBorder="1" applyAlignment="1">
      <alignment horizontal="center" vertical="center"/>
    </xf>
    <xf numFmtId="164" fontId="1" fillId="3" borderId="56" xfId="0" applyNumberFormat="1" applyFont="1" applyFill="1" applyBorder="1" applyAlignment="1">
      <alignment horizontal="center" vertical="center"/>
    </xf>
    <xf numFmtId="164" fontId="1" fillId="3" borderId="57" xfId="0" applyNumberFormat="1" applyFont="1" applyFill="1" applyBorder="1" applyAlignment="1">
      <alignment horizontal="center" vertical="center"/>
    </xf>
    <xf numFmtId="164" fontId="1" fillId="6" borderId="50" xfId="0" applyNumberFormat="1" applyFont="1" applyFill="1" applyBorder="1" applyAlignment="1">
      <alignment horizontal="center" vertical="center"/>
    </xf>
    <xf numFmtId="164" fontId="1" fillId="6" borderId="58" xfId="0" applyNumberFormat="1" applyFont="1" applyFill="1" applyBorder="1" applyAlignment="1">
      <alignment horizontal="center" vertical="center"/>
    </xf>
    <xf numFmtId="164" fontId="1" fillId="6" borderId="57" xfId="0" applyNumberFormat="1" applyFont="1" applyFill="1" applyBorder="1" applyAlignment="1">
      <alignment horizontal="center" vertical="center"/>
    </xf>
    <xf numFmtId="0" fontId="4" fillId="5" borderId="48" xfId="0" applyFont="1" applyFill="1" applyBorder="1" applyAlignment="1">
      <alignment horizontal="center" vertical="center" wrapText="1"/>
    </xf>
    <xf numFmtId="0" fontId="4" fillId="5" borderId="56" xfId="0" applyFont="1" applyFill="1" applyBorder="1" applyAlignment="1">
      <alignment horizontal="center" vertical="center"/>
    </xf>
    <xf numFmtId="0" fontId="4" fillId="5" borderId="57" xfId="0" applyFont="1" applyFill="1" applyBorder="1" applyAlignment="1">
      <alignment horizontal="center" vertical="center"/>
    </xf>
    <xf numFmtId="0" fontId="4" fillId="5" borderId="59" xfId="0" applyFont="1" applyFill="1" applyBorder="1" applyAlignment="1">
      <alignment horizontal="center" vertical="center"/>
    </xf>
    <xf numFmtId="0" fontId="4" fillId="5" borderId="60" xfId="0" applyFont="1" applyFill="1" applyBorder="1" applyAlignment="1">
      <alignment horizontal="center" vertical="center"/>
    </xf>
    <xf numFmtId="0" fontId="1" fillId="2" borderId="0" xfId="0" applyFont="1" applyFill="1" applyAlignment="1">
      <alignment horizontal="center"/>
    </xf>
    <xf numFmtId="0" fontId="2" fillId="0" borderId="0" xfId="0" applyFont="1"/>
    <xf numFmtId="0" fontId="1" fillId="3" borderId="48" xfId="0" applyFont="1" applyFill="1" applyBorder="1" applyAlignment="1">
      <alignment horizontal="center" vertical="center"/>
    </xf>
    <xf numFmtId="0" fontId="2" fillId="0" borderId="49" xfId="0" applyFont="1" applyBorder="1"/>
    <xf numFmtId="0" fontId="1" fillId="6" borderId="50" xfId="0" applyFont="1" applyFill="1" applyBorder="1" applyAlignment="1">
      <alignment horizontal="center" vertical="center"/>
    </xf>
    <xf numFmtId="0" fontId="2" fillId="0" borderId="50"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1" fillId="3" borderId="7" xfId="0" applyFont="1" applyFill="1" applyBorder="1" applyAlignment="1">
      <alignment horizontal="center" vertical="center" wrapText="1"/>
    </xf>
    <xf numFmtId="0" fontId="2" fillId="0" borderId="24" xfId="0" applyFont="1" applyBorder="1"/>
    <xf numFmtId="0" fontId="2" fillId="0" borderId="10" xfId="0" applyFont="1" applyBorder="1"/>
    <xf numFmtId="0" fontId="1" fillId="6" borderId="14" xfId="0" applyFont="1" applyFill="1" applyBorder="1" applyAlignment="1">
      <alignment horizontal="center" vertical="center" wrapText="1"/>
    </xf>
    <xf numFmtId="0" fontId="2" fillId="0" borderId="15" xfId="0" applyFont="1" applyBorder="1"/>
    <xf numFmtId="0" fontId="2" fillId="0" borderId="19" xfId="0" applyFont="1" applyBorder="1"/>
    <xf numFmtId="0" fontId="1" fillId="2" borderId="1" xfId="0" applyFont="1" applyFill="1" applyBorder="1" applyAlignment="1">
      <alignment horizontal="center" wrapText="1"/>
    </xf>
    <xf numFmtId="0" fontId="2" fillId="0" borderId="37" xfId="0" applyFont="1" applyBorder="1"/>
    <xf numFmtId="0" fontId="7" fillId="7" borderId="14" xfId="0" applyFont="1" applyFill="1" applyBorder="1" applyAlignment="1">
      <alignment horizontal="center" vertical="center" wrapText="1"/>
    </xf>
    <xf numFmtId="0" fontId="8" fillId="0" borderId="39" xfId="0" applyFont="1" applyBorder="1" applyAlignment="1">
      <alignment horizontal="left" vertical="top" wrapText="1"/>
    </xf>
    <xf numFmtId="0" fontId="2" fillId="0" borderId="40" xfId="0" applyFont="1" applyBorder="1"/>
    <xf numFmtId="0" fontId="2" fillId="0" borderId="41" xfId="0" applyFont="1" applyBorder="1"/>
    <xf numFmtId="0" fontId="2" fillId="0" borderId="42" xfId="0" applyFont="1" applyBorder="1"/>
    <xf numFmtId="0" fontId="0" fillId="0" borderId="0" xfId="0"/>
    <xf numFmtId="0" fontId="2" fillId="0" borderId="43" xfId="0" applyFont="1" applyBorder="1"/>
    <xf numFmtId="0" fontId="2" fillId="0" borderId="44" xfId="0" applyFont="1" applyBorder="1"/>
    <xf numFmtId="0" fontId="2" fillId="0" borderId="45" xfId="0" applyFont="1" applyBorder="1"/>
    <xf numFmtId="0" fontId="2" fillId="0" borderId="46" xfId="0" applyFont="1" applyBorder="1"/>
    <xf numFmtId="0" fontId="5" fillId="0" borderId="0" xfId="0" applyFont="1" applyAlignment="1">
      <alignment horizontal="center"/>
    </xf>
    <xf numFmtId="0" fontId="9" fillId="0" borderId="4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pieChart>
        <c:varyColors val="1"/>
        <c:ser>
          <c:idx val="0"/>
          <c:order val="0"/>
          <c:tx>
            <c:strRef>
              <c:f>'CUÁNTOS SOMOS '!$C$1:$C$2</c:f>
              <c:strCache>
                <c:ptCount val="2"/>
                <c:pt idx="0">
                  <c:v>Total de personas censadas</c:v>
                </c:pt>
                <c:pt idx="1">
                  <c:v>Frecuencia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DE-4FCE-A116-312ED7EC68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DE-4FCE-A116-312ED7EC68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extLst>
                <c:ext xmlns:c15="http://schemas.microsoft.com/office/drawing/2012/chart" uri="{02D57815-91ED-43cb-92C2-25804820EDAC}">
                  <c15:fullRef>
                    <c15:sqref>'CUÁNTOS SOMOS '!$A$3:$B$7</c15:sqref>
                  </c15:fullRef>
                </c:ext>
              </c:extLst>
              <c:f>'CUÁNTOS SOMOS '!$A$3:$B$4</c:f>
              <c:multiLvlStrCache>
                <c:ptCount val="2"/>
                <c:lvl>
                  <c:pt idx="0">
                    <c:v>Hombre</c:v>
                  </c:pt>
                  <c:pt idx="1">
                    <c:v>Mujer</c:v>
                  </c:pt>
                </c:lvl>
                <c:lvl>
                  <c:pt idx="0">
                    <c:v>GENERO </c:v>
                  </c:pt>
                </c:lvl>
              </c:multiLvlStrCache>
            </c:multiLvlStrRef>
          </c:cat>
          <c:val>
            <c:numRef>
              <c:extLst>
                <c:ext xmlns:c15="http://schemas.microsoft.com/office/drawing/2012/chart" uri="{02D57815-91ED-43cb-92C2-25804820EDAC}">
                  <c15:fullRef>
                    <c15:sqref>'CUÁNTOS SOMOS '!$C$3:$C$7</c15:sqref>
                  </c15:fullRef>
                </c:ext>
              </c:extLst>
              <c:f>'CUÁNTOS SOMOS '!$C$3:$C$4</c:f>
              <c:numCache>
                <c:formatCode>_-* #,##0_-;\-* #,##0_-;_-* "-"_-;_-@</c:formatCode>
                <c:ptCount val="2"/>
                <c:pt idx="0">
                  <c:v>23550145.072000001</c:v>
                </c:pt>
                <c:pt idx="1">
                  <c:v>24708348.927999999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D50B-421A-98ED-FD11AD86DA68}"/>
            </c:ext>
          </c:extLst>
        </c:ser>
        <c:dLbls>
          <c:dLblPos val="ctr"/>
          <c:showLegendKey val="0"/>
          <c:showVal val="0"/>
          <c:showCatName val="0"/>
          <c:showSerName val="0"/>
          <c:showPercent val="1"/>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'CUÁNTOS SOMOS '!$D$1:$D$2</c15:sqref>
                        </c15:formulaRef>
                      </c:ext>
                    </c:extLst>
                    <c:strCache>
                      <c:ptCount val="2"/>
                      <c:pt idx="0">
                        <c:v> 48.258.494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5DE-4FCE-A116-312ED7EC68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5DE-4FCE-A116-312ED7EC68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uri="{CE6537A1-D6FC-4f65-9D91-7224C49458BB}"/>
                  </c:extLst>
                </c:dLbls>
                <c:cat>
                  <c:multiLvlStrRef>
                    <c:extLst>
                      <c:ext uri="{02D57815-91ED-43cb-92C2-25804820EDAC}">
                        <c15:fullRef>
                          <c15:sqref>'CUÁNTOS SOMOS '!$A$3:$B$7</c15:sqref>
                        </c15:fullRef>
                        <c15:formulaRef>
                          <c15:sqref>'CUÁNTOS SOMOS '!$A$3:$B$4</c15:sqref>
                        </c15:formulaRef>
                      </c:ext>
                    </c:extLst>
                    <c:multiLvlStrCache>
                      <c:ptCount val="2"/>
                      <c:lvl>
                        <c:pt idx="0">
                          <c:v>Hombre</c:v>
                        </c:pt>
                        <c:pt idx="1">
                          <c:v>Mujer</c:v>
                        </c:pt>
                      </c:lvl>
                      <c:lvl>
                        <c:pt idx="0">
                          <c:v>GENERO </c:v>
                        </c:pt>
                      </c:lvl>
                    </c:multiLvlStrCache>
                  </c:multiLvlStrRef>
                </c:cat>
                <c:val>
                  <c:numRef>
                    <c:extLst>
                      <c:ext uri="{02D57815-91ED-43cb-92C2-25804820EDAC}">
                        <c15:fullRef>
                          <c15:sqref>'CUÁNTOS SOMOS '!$D$3:$D$7</c15:sqref>
                        </c15:fullRef>
                        <c15:formulaRef>
                          <c15:sqref>'CUÁNTOS SOMOS '!$D$3:$D$4</c15:sqref>
                        </c15:formulaRef>
                      </c:ext>
                    </c:extLst>
                    <c:numCache>
                      <c:formatCode>0.00%</c:formatCode>
                      <c:ptCount val="2"/>
                      <c:pt idx="0">
                        <c:v>0.48799999999999999</c:v>
                      </c:pt>
                      <c:pt idx="1">
                        <c:v>0.51200000000000001</c:v>
                      </c:pt>
                    </c:numCache>
                  </c:numRef>
                </c:val>
                <c:extLst>
                  <c:ext uri="{02D57815-91ED-43cb-92C2-25804820EDAC}">
                    <c15:categoryFilterExceptions/>
                  </c:ext>
                  <c:ext xmlns:c16="http://schemas.microsoft.com/office/drawing/2014/chart" uri="{C3380CC4-5D6E-409C-BE32-E72D297353CC}">
                    <c16:uniqueId val="{00000001-D50B-421A-98ED-FD11AD86DA68}"/>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'CUÁNTOS SOMOS '!$E$1:$E$2</c15:sqref>
                        </c15:formulaRef>
                      </c:ext>
                    </c:extLst>
                    <c:strCache>
                      <c:ptCount val="2"/>
                      <c:pt idx="0">
                        <c:v> 48.258.494 </c:v>
                      </c:pt>
                      <c:pt idx="1">
                        <c:v>Llenar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5DE-4FCE-A116-312ED7EC68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5DE-4FCE-A116-312ED7EC68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multiLvlStrRef>
                    <c:extLst>
                      <c:ext xmlns:c15="http://schemas.microsoft.com/office/drawing/2012/chart" uri="{02D57815-91ED-43cb-92C2-25804820EDAC}">
                        <c15:fullRef>
                          <c15:sqref>'CUÁNTOS SOMOS '!$A$3:$B$7</c15:sqref>
                        </c15:fullRef>
                        <c15:formulaRef>
                          <c15:sqref>'CUÁNTOS SOMOS '!$A$3:$B$4</c15:sqref>
                        </c15:formulaRef>
                      </c:ext>
                    </c:extLst>
                    <c:multiLvlStrCache>
                      <c:ptCount val="2"/>
                      <c:lvl>
                        <c:pt idx="0">
                          <c:v>Hombre</c:v>
                        </c:pt>
                        <c:pt idx="1">
                          <c:v>Mujer</c:v>
                        </c:pt>
                      </c:lvl>
                      <c:lvl>
                        <c:pt idx="0">
                          <c:v>GENERO </c:v>
                        </c:pt>
                      </c:lvl>
                    </c:multiLvlStrCache>
                  </c:multiLvlStrRef>
                </c:cat>
                <c:val>
                  <c:numRef>
                    <c:extLst>
                      <c:ext xmlns:c15="http://schemas.microsoft.com/office/drawing/2012/chart" uri="{02D57815-91ED-43cb-92C2-25804820EDAC}">
                        <c15:fullRef>
                          <c15:sqref>'CUÁNTOS SOMOS '!$E$3:$E$7</c15:sqref>
                        </c15:fullRef>
                        <c15:formulaRef>
                          <c15:sqref>'CUÁNTOS SOMOS '!$E$3:$E$4</c15:sqref>
                        </c15:formulaRef>
                      </c:ext>
                    </c:extLst>
                    <c:numCache>
                      <c:formatCode>General</c:formatCode>
                      <c:ptCount val="2"/>
                      <c:pt idx="0">
                        <c:v>48.8</c:v>
                      </c:pt>
                      <c:pt idx="1">
                        <c:v>51.2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D50B-421A-98ED-FD11AD86DA68}"/>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pieChart>
        <c:varyColors val="1"/>
        <c:ser>
          <c:idx val="0"/>
          <c:order val="0"/>
          <c:tx>
            <c:strRef>
              <c:f>'CUÁNTOS SOMOS '!$C$1:$C$2</c:f>
              <c:strCache>
                <c:ptCount val="2"/>
                <c:pt idx="0">
                  <c:v>Total de personas censadas</c:v>
                </c:pt>
                <c:pt idx="1">
                  <c:v>Frecuencia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23-4DA1-810E-961B97C4FF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23-4DA1-810E-961B97C4FF0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C23-4DA1-810E-961B97C4FF00}"/>
              </c:ext>
            </c:extLst>
          </c:dPt>
          <c:cat>
            <c:multiLvlStrRef>
              <c:extLst>
                <c:ext xmlns:c15="http://schemas.microsoft.com/office/drawing/2012/chart" uri="{02D57815-91ED-43cb-92C2-25804820EDAC}">
                  <c15:fullRef>
                    <c15:sqref>'CUÁNTOS SOMOS '!$A$3:$B$7</c15:sqref>
                  </c15:fullRef>
                </c:ext>
              </c:extLst>
              <c:f>'CUÁNTOS SOMOS '!$A$5:$B$7</c:f>
              <c:multiLvlStrCache>
                <c:ptCount val="3"/>
                <c:lvl>
                  <c:pt idx="0">
                    <c:v>0 - 14</c:v>
                  </c:pt>
                  <c:pt idx="1">
                    <c:v>15 - 65</c:v>
                  </c:pt>
                  <c:pt idx="2">
                    <c:v>≥ 65</c:v>
                  </c:pt>
                </c:lvl>
                <c:lvl>
                  <c:pt idx="0">
                    <c:v>EDADES</c:v>
                  </c:pt>
                </c:lvl>
              </c:multiLvlStrCache>
            </c:multiLvlStrRef>
          </c:cat>
          <c:val>
            <c:numRef>
              <c:extLst>
                <c:ext xmlns:c15="http://schemas.microsoft.com/office/drawing/2012/chart" uri="{02D57815-91ED-43cb-92C2-25804820EDAC}">
                  <c15:fullRef>
                    <c15:sqref>'CUÁNTOS SOMOS '!$C$3:$C$7</c15:sqref>
                  </c15:fullRef>
                </c:ext>
              </c:extLst>
              <c:f>'CUÁNTOS SOMOS '!$C$5:$C$7</c:f>
              <c:numCache>
                <c:formatCode>_-* #,##0_-;\-* #,##0_-;_-* "-"_-;_-@</c:formatCode>
                <c:ptCount val="3"/>
                <c:pt idx="0">
                  <c:v>10906419.643999999</c:v>
                </c:pt>
                <c:pt idx="1">
                  <c:v>32912292.908000004</c:v>
                </c:pt>
                <c:pt idx="2">
                  <c:v>4391522.9539999999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FFF6-451F-9CBE-4EE81432009F}"/>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'CUÁNTOS SOMOS '!$D$1:$D$2</c15:sqref>
                        </c15:formulaRef>
                      </c:ext>
                    </c:extLst>
                    <c:strCache>
                      <c:ptCount val="2"/>
                      <c:pt idx="0">
                        <c:v> 48.258.494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C23-4DA1-810E-961B97C4FF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C23-4DA1-810E-961B97C4FF0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C23-4DA1-810E-961B97C4FF00}"/>
                    </c:ext>
                  </c:extLst>
                </c:dPt>
                <c:cat>
                  <c:multiLvlStrRef>
                    <c:extLst>
                      <c:ext uri="{02D57815-91ED-43cb-92C2-25804820EDAC}">
                        <c15:fullRef>
                          <c15:sqref>'CUÁNTOS SOMOS '!$A$3:$B$7</c15:sqref>
                        </c15:fullRef>
                        <c15:formulaRef>
                          <c15:sqref>'CUÁNTOS SOMOS '!$A$5:$B$7</c15:sqref>
                        </c15:formulaRef>
                      </c:ext>
                    </c:extLst>
                    <c:multiLvlStrCache>
                      <c:ptCount val="3"/>
                      <c:lvl>
                        <c:pt idx="0">
                          <c:v>0 - 14</c:v>
                        </c:pt>
                        <c:pt idx="1">
                          <c:v>15 - 65</c:v>
                        </c:pt>
                        <c:pt idx="2">
                          <c:v>≥ 65</c:v>
                        </c:pt>
                      </c:lvl>
                      <c:lvl>
                        <c:pt idx="0">
                          <c:v>EDADES</c:v>
                        </c:pt>
                      </c:lvl>
                    </c:multiLvlStrCache>
                  </c:multiLvlStrRef>
                </c:cat>
                <c:val>
                  <c:numRef>
                    <c:extLst>
                      <c:ext uri="{02D57815-91ED-43cb-92C2-25804820EDAC}">
                        <c15:fullRef>
                          <c15:sqref>'CUÁNTOS SOMOS '!$D$3:$D$7</c15:sqref>
                        </c15:fullRef>
                        <c15:formulaRef>
                          <c15:sqref>'CUÁNTOS SOMOS '!$D$5:$D$7</c15:sqref>
                        </c15:formulaRef>
                      </c:ext>
                    </c:extLst>
                    <c:numCache>
                      <c:formatCode>0.00%</c:formatCode>
                      <c:ptCount val="3"/>
                      <c:pt idx="0">
                        <c:v>0.22600000000000001</c:v>
                      </c:pt>
                      <c:pt idx="1">
                        <c:v>0.68200000000000005</c:v>
                      </c:pt>
                      <c:pt idx="2">
                        <c:v>9.0999999999999998E-2</c:v>
                      </c:pt>
                    </c:numCache>
                  </c:numRef>
                </c:val>
                <c:extLst>
                  <c:ext uri="{02D57815-91ED-43cb-92C2-25804820EDAC}">
                    <c15:categoryFilterExceptions/>
                  </c:ext>
                  <c:ext xmlns:c16="http://schemas.microsoft.com/office/drawing/2014/chart" uri="{C3380CC4-5D6E-409C-BE32-E72D297353CC}">
                    <c16:uniqueId val="{00000001-FFF6-451F-9CBE-4EE81432009F}"/>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'CUÁNTOS SOMOS '!$E$1:$E$2</c15:sqref>
                        </c15:formulaRef>
                      </c:ext>
                    </c:extLst>
                    <c:strCache>
                      <c:ptCount val="2"/>
                      <c:pt idx="0">
                        <c:v> 48.258.494 </c:v>
                      </c:pt>
                      <c:pt idx="1">
                        <c:v>Llenar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C23-4DA1-810E-961B97C4FF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C23-4DA1-810E-961B97C4FF0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C23-4DA1-810E-961B97C4FF00}"/>
                    </c:ext>
                  </c:extLst>
                </c:dPt>
                <c:cat>
                  <c:multiLvlStrRef>
                    <c:extLst>
                      <c:ext xmlns:c15="http://schemas.microsoft.com/office/drawing/2012/chart" uri="{02D57815-91ED-43cb-92C2-25804820EDAC}">
                        <c15:fullRef>
                          <c15:sqref>'CUÁNTOS SOMOS '!$A$3:$B$7</c15:sqref>
                        </c15:fullRef>
                        <c15:formulaRef>
                          <c15:sqref>'CUÁNTOS SOMOS '!$A$5:$B$7</c15:sqref>
                        </c15:formulaRef>
                      </c:ext>
                    </c:extLst>
                    <c:multiLvlStrCache>
                      <c:ptCount val="3"/>
                      <c:lvl>
                        <c:pt idx="0">
                          <c:v>0 - 14</c:v>
                        </c:pt>
                        <c:pt idx="1">
                          <c:v>15 - 65</c:v>
                        </c:pt>
                        <c:pt idx="2">
                          <c:v>≥ 65</c:v>
                        </c:pt>
                      </c:lvl>
                      <c:lvl>
                        <c:pt idx="0">
                          <c:v>EDADES</c:v>
                        </c:pt>
                      </c:lvl>
                    </c:multiLvlStrCache>
                  </c:multiLvlStrRef>
                </c:cat>
                <c:val>
                  <c:numRef>
                    <c:extLst>
                      <c:ext xmlns:c15="http://schemas.microsoft.com/office/drawing/2012/chart" uri="{02D57815-91ED-43cb-92C2-25804820EDAC}">
                        <c15:fullRef>
                          <c15:sqref>'CUÁNTOS SOMOS '!$E$3:$E$7</c15:sqref>
                        </c15:fullRef>
                        <c15:formulaRef>
                          <c15:sqref>'CUÁNTOS SOMOS '!$E$5:$E$7</c15:sqref>
                        </c15:formulaRef>
                      </c:ext>
                    </c:extLst>
                    <c:numCache>
                      <c:formatCode>General</c:formatCode>
                      <c:ptCount val="3"/>
                      <c:pt idx="0">
                        <c:v>22.6</c:v>
                      </c:pt>
                      <c:pt idx="1">
                        <c:v>68.2</c:v>
                      </c:pt>
                      <c:pt idx="2">
                        <c:v>9.1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FFF6-451F-9CBE-4EE81432009F}"/>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pieChart>
        <c:varyColors val="1"/>
        <c:ser>
          <c:idx val="0"/>
          <c:order val="0"/>
          <c:tx>
            <c:strRef>
              <c:f>'DÓNDE ESTAMOS'!$C$1:$C$2</c:f>
              <c:strCache>
                <c:ptCount val="2"/>
                <c:pt idx="0">
                  <c:v>Total de personas censadas</c:v>
                </c:pt>
                <c:pt idx="1">
                  <c:v>Frecuencia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7AE-4885-84E2-D1FD95A79C1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7AE-4885-84E2-D1FD95A79C1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7AE-4885-84E2-D1FD95A79C1F}"/>
              </c:ext>
            </c:extLst>
          </c:dPt>
          <c:cat>
            <c:multiLvlStrRef>
              <c:extLst>
                <c:ext xmlns:c15="http://schemas.microsoft.com/office/drawing/2012/chart" uri="{02D57815-91ED-43cb-92C2-25804820EDAC}">
                  <c15:fullRef>
                    <c15:sqref>'DÓNDE ESTAMOS'!$A$3:$B$8</c15:sqref>
                  </c15:fullRef>
                </c:ext>
              </c:extLst>
              <c:f>'DÓNDE ESTAMOS'!$A$3:$B$5</c:f>
              <c:multiLvlStrCache>
                <c:ptCount val="3"/>
                <c:lvl>
                  <c:pt idx="0">
                    <c:v>C. Municipal</c:v>
                  </c:pt>
                  <c:pt idx="1">
                    <c:v>Centros poblados</c:v>
                  </c:pt>
                  <c:pt idx="2">
                    <c:v>Rural</c:v>
                  </c:pt>
                </c:lvl>
                <c:lvl>
                  <c:pt idx="0">
                    <c:v>Ditribuación de población</c:v>
                  </c:pt>
                </c:lvl>
              </c:multiLvlStrCache>
            </c:multiLvlStrRef>
          </c:cat>
          <c:val>
            <c:numRef>
              <c:extLst>
                <c:ext xmlns:c15="http://schemas.microsoft.com/office/drawing/2012/chart" uri="{02D57815-91ED-43cb-92C2-25804820EDAC}">
                  <c15:fullRef>
                    <c15:sqref>'DÓNDE ESTAMOS'!$C$3:$C$8</c15:sqref>
                  </c15:fullRef>
                </c:ext>
              </c:extLst>
              <c:f>'DÓNDE ESTAMOS'!$C$3:$C$5</c:f>
              <c:numCache>
                <c:formatCode>0</c:formatCode>
                <c:ptCount val="3"/>
                <c:pt idx="0">
                  <c:v>37207298.873999998</c:v>
                </c:pt>
                <c:pt idx="1">
                  <c:v>3426353.0739999996</c:v>
                </c:pt>
                <c:pt idx="2">
                  <c:v>7624842.0520000001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B5F6-4DC3-B798-95D27086B4C3}"/>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'DÓNDE ESTAMOS'!$D$1:$D$2</c15:sqref>
                        </c15:formulaRef>
                      </c:ext>
                    </c:extLst>
                    <c:strCache>
                      <c:ptCount val="2"/>
                      <c:pt idx="0">
                        <c:v>48258494</c:v>
                      </c:pt>
                      <c:pt idx="1">
                        <c:v>FRECUENCIA PORCENTUAL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7AE-4885-84E2-D1FD95A79C1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7AE-4885-84E2-D1FD95A79C1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7AE-4885-84E2-D1FD95A79C1F}"/>
                    </c:ext>
                  </c:extLst>
                </c:dPt>
                <c:cat>
                  <c:multiLvlStrRef>
                    <c:extLst>
                      <c:ext uri="{02D57815-91ED-43cb-92C2-25804820EDAC}">
                        <c15:fullRef>
                          <c15:sqref>'DÓNDE ESTAMOS'!$A$3:$B$8</c15:sqref>
                        </c15:fullRef>
                        <c15:formulaRef>
                          <c15:sqref>'DÓNDE ESTAMOS'!$A$3:$B$5</c15:sqref>
                        </c15:formulaRef>
                      </c:ext>
                    </c:extLst>
                    <c:multiLvlStrCache>
                      <c:ptCount val="3"/>
                      <c:lvl>
                        <c:pt idx="0">
                          <c:v>C. Municipal</c:v>
                        </c:pt>
                        <c:pt idx="1">
                          <c:v>Centros poblados</c:v>
                        </c:pt>
                        <c:pt idx="2">
                          <c:v>Rural</c:v>
                        </c:pt>
                      </c:lvl>
                      <c:lvl>
                        <c:pt idx="0">
                          <c:v>Ditribuación de población</c:v>
                        </c:pt>
                      </c:lvl>
                    </c:multiLvlStrCache>
                  </c:multiLvlStrRef>
                </c:cat>
                <c:val>
                  <c:numRef>
                    <c:extLst>
                      <c:ext uri="{02D57815-91ED-43cb-92C2-25804820EDAC}">
                        <c15:fullRef>
                          <c15:sqref>'DÓNDE ESTAMOS'!$D$3:$D$8</c15:sqref>
                        </c15:fullRef>
                        <c15:formulaRef>
                          <c15:sqref>'DÓNDE ESTAMOS'!$D$3:$D$5</c15:sqref>
                        </c15:formulaRef>
                      </c:ext>
                    </c:extLst>
                    <c:numCache>
                      <c:formatCode>0.0%</c:formatCode>
                      <c:ptCount val="3"/>
                      <c:pt idx="0">
                        <c:v>0.77099999999999991</c:v>
                      </c:pt>
                      <c:pt idx="1">
                        <c:v>7.0999999999999994E-2</c:v>
                      </c:pt>
                      <c:pt idx="2">
                        <c:v>0.158</c:v>
                      </c:pt>
                    </c:numCache>
                  </c:numRef>
                </c:val>
                <c:extLst>
                  <c:ext uri="{02D57815-91ED-43cb-92C2-25804820EDAC}">
                    <c15:categoryFilterExceptions/>
                  </c:ext>
                  <c:ext xmlns:c16="http://schemas.microsoft.com/office/drawing/2014/chart" uri="{C3380CC4-5D6E-409C-BE32-E72D297353CC}">
                    <c16:uniqueId val="{00000001-B5F6-4DC3-B798-95D27086B4C3}"/>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'DÓNDE ESTAMOS'!$E$1:$E$2</c15:sqref>
                        </c15:formulaRef>
                      </c:ext>
                    </c:extLst>
                    <c:strCache>
                      <c:ptCount val="2"/>
                      <c:pt idx="0">
                        <c:v>48258494</c:v>
                      </c:pt>
                      <c:pt idx="1">
                        <c:v>Llenar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7AE-4885-84E2-D1FD95A79C1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7AE-4885-84E2-D1FD95A79C1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7AE-4885-84E2-D1FD95A79C1F}"/>
                    </c:ext>
                  </c:extLst>
                </c:dPt>
                <c:cat>
                  <c:multiLvlStrRef>
                    <c:extLst>
                      <c:ext xmlns:c15="http://schemas.microsoft.com/office/drawing/2012/chart" uri="{02D57815-91ED-43cb-92C2-25804820EDAC}">
                        <c15:fullRef>
                          <c15:sqref>'DÓNDE ESTAMOS'!$A$3:$B$8</c15:sqref>
                        </c15:fullRef>
                        <c15:formulaRef>
                          <c15:sqref>'DÓNDE ESTAMOS'!$A$3:$B$5</c15:sqref>
                        </c15:formulaRef>
                      </c:ext>
                    </c:extLst>
                    <c:multiLvlStrCache>
                      <c:ptCount val="3"/>
                      <c:lvl>
                        <c:pt idx="0">
                          <c:v>C. Municipal</c:v>
                        </c:pt>
                        <c:pt idx="1">
                          <c:v>Centros poblados</c:v>
                        </c:pt>
                        <c:pt idx="2">
                          <c:v>Rural</c:v>
                        </c:pt>
                      </c:lvl>
                      <c:lvl>
                        <c:pt idx="0">
                          <c:v>Ditribuación de población</c:v>
                        </c:pt>
                      </c:lvl>
                    </c:multiLvlStrCache>
                  </c:multiLvlStrRef>
                </c:cat>
                <c:val>
                  <c:numRef>
                    <c:extLst>
                      <c:ext xmlns:c15="http://schemas.microsoft.com/office/drawing/2012/chart" uri="{02D57815-91ED-43cb-92C2-25804820EDAC}">
                        <c15:fullRef>
                          <c15:sqref>'DÓNDE ESTAMOS'!$E$3:$E$8</c15:sqref>
                        </c15:fullRef>
                        <c15:formulaRef>
                          <c15:sqref>'DÓNDE ESTAMOS'!$E$3:$E$5</c15:sqref>
                        </c15:formulaRef>
                      </c:ext>
                    </c:extLst>
                    <c:numCache>
                      <c:formatCode>General</c:formatCode>
                      <c:ptCount val="3"/>
                      <c:pt idx="0">
                        <c:v>77.099999999999994</c:v>
                      </c:pt>
                      <c:pt idx="1">
                        <c:v>7.1</c:v>
                      </c:pt>
                      <c:pt idx="2">
                        <c:v>15.8</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B5F6-4DC3-B798-95D27086B4C3}"/>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pieChart>
        <c:varyColors val="1"/>
        <c:ser>
          <c:idx val="0"/>
          <c:order val="0"/>
          <c:tx>
            <c:strRef>
              <c:f>'DÓNDE ESTAMOS'!$C$1:$C$2</c:f>
              <c:strCache>
                <c:ptCount val="2"/>
                <c:pt idx="0">
                  <c:v>Total de personas censadas</c:v>
                </c:pt>
                <c:pt idx="1">
                  <c:v>Frecuencia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EF9-47C0-9B3B-958D1CA10B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EF9-47C0-9B3B-958D1CA10B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EF9-47C0-9B3B-958D1CA10B7C}"/>
              </c:ext>
            </c:extLst>
          </c:dPt>
          <c:cat>
            <c:multiLvlStrRef>
              <c:extLst>
                <c:ext xmlns:c15="http://schemas.microsoft.com/office/drawing/2012/chart" uri="{02D57815-91ED-43cb-92C2-25804820EDAC}">
                  <c15:fullRef>
                    <c15:sqref>'DÓNDE ESTAMOS'!$A$3:$B$8</c15:sqref>
                  </c15:fullRef>
                </c:ext>
              </c:extLst>
              <c:f>'DÓNDE ESTAMOS'!$A$6:$B$8</c:f>
              <c:multiLvlStrCache>
                <c:ptCount val="3"/>
                <c:lvl>
                  <c:pt idx="0">
                    <c:v>Colombia</c:v>
                  </c:pt>
                  <c:pt idx="1">
                    <c:v>Otro pais</c:v>
                  </c:pt>
                  <c:pt idx="2">
                    <c:v>Sin información</c:v>
                  </c:pt>
                </c:lvl>
                <c:lvl>
                  <c:pt idx="0">
                    <c:v>Lugar de nacimiento</c:v>
                  </c:pt>
                </c:lvl>
              </c:multiLvlStrCache>
            </c:multiLvlStrRef>
          </c:cat>
          <c:val>
            <c:numRef>
              <c:extLst>
                <c:ext xmlns:c15="http://schemas.microsoft.com/office/drawing/2012/chart" uri="{02D57815-91ED-43cb-92C2-25804820EDAC}">
                  <c15:fullRef>
                    <c15:sqref>'DÓNDE ESTAMOS'!$C$3:$C$8</c15:sqref>
                  </c15:fullRef>
                </c:ext>
              </c:extLst>
              <c:f>'DÓNDE ESTAMOS'!$C$6:$C$8</c:f>
              <c:numCache>
                <c:formatCode>0</c:formatCode>
                <c:ptCount val="3"/>
                <c:pt idx="0">
                  <c:v>46617705.203999996</c:v>
                </c:pt>
                <c:pt idx="1">
                  <c:v>1061686.868</c:v>
                </c:pt>
                <c:pt idx="2">
                  <c:v>579101.92799999996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A6D0-4DF6-8DE1-014234199315}"/>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'DÓNDE ESTAMOS'!$D$1:$D$2</c15:sqref>
                        </c15:formulaRef>
                      </c:ext>
                    </c:extLst>
                    <c:strCache>
                      <c:ptCount val="2"/>
                      <c:pt idx="0">
                        <c:v>48258494</c:v>
                      </c:pt>
                      <c:pt idx="1">
                        <c:v>FRECUENCIA PORCENTUAL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EF9-47C0-9B3B-958D1CA10B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EF9-47C0-9B3B-958D1CA10B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EF9-47C0-9B3B-958D1CA10B7C}"/>
                    </c:ext>
                  </c:extLst>
                </c:dPt>
                <c:cat>
                  <c:multiLvlStrRef>
                    <c:extLst>
                      <c:ext uri="{02D57815-91ED-43cb-92C2-25804820EDAC}">
                        <c15:fullRef>
                          <c15:sqref>'DÓNDE ESTAMOS'!$A$3:$B$8</c15:sqref>
                        </c15:fullRef>
                        <c15:formulaRef>
                          <c15:sqref>'DÓNDE ESTAMOS'!$A$6:$B$8</c15:sqref>
                        </c15:formulaRef>
                      </c:ext>
                    </c:extLst>
                    <c:multiLvlStrCache>
                      <c:ptCount val="3"/>
                      <c:lvl>
                        <c:pt idx="0">
                          <c:v>Colombia</c:v>
                        </c:pt>
                        <c:pt idx="1">
                          <c:v>Otro pais</c:v>
                        </c:pt>
                        <c:pt idx="2">
                          <c:v>Sin información</c:v>
                        </c:pt>
                      </c:lvl>
                      <c:lvl>
                        <c:pt idx="0">
                          <c:v>Lugar de nacimiento</c:v>
                        </c:pt>
                      </c:lvl>
                    </c:multiLvlStrCache>
                  </c:multiLvlStrRef>
                </c:cat>
                <c:val>
                  <c:numRef>
                    <c:extLst>
                      <c:ext uri="{02D57815-91ED-43cb-92C2-25804820EDAC}">
                        <c15:fullRef>
                          <c15:sqref>'DÓNDE ESTAMOS'!$D$3:$D$8</c15:sqref>
                        </c15:fullRef>
                        <c15:formulaRef>
                          <c15:sqref>'DÓNDE ESTAMOS'!$D$6:$D$8</c15:sqref>
                        </c15:formulaRef>
                      </c:ext>
                    </c:extLst>
                    <c:numCache>
                      <c:formatCode>0.0%</c:formatCode>
                      <c:ptCount val="3"/>
                      <c:pt idx="0">
                        <c:v>0.96599999999999997</c:v>
                      </c:pt>
                      <c:pt idx="1">
                        <c:v>2.2000000000000002E-2</c:v>
                      </c:pt>
                      <c:pt idx="2">
                        <c:v>1.2E-2</c:v>
                      </c:pt>
                    </c:numCache>
                  </c:numRef>
                </c:val>
                <c:extLst>
                  <c:ext uri="{02D57815-91ED-43cb-92C2-25804820EDAC}">
                    <c15:categoryFilterExceptions/>
                  </c:ext>
                  <c:ext xmlns:c16="http://schemas.microsoft.com/office/drawing/2014/chart" uri="{C3380CC4-5D6E-409C-BE32-E72D297353CC}">
                    <c16:uniqueId val="{00000001-A6D0-4DF6-8DE1-014234199315}"/>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'DÓNDE ESTAMOS'!$E$1:$E$2</c15:sqref>
                        </c15:formulaRef>
                      </c:ext>
                    </c:extLst>
                    <c:strCache>
                      <c:ptCount val="2"/>
                      <c:pt idx="0">
                        <c:v>48258494</c:v>
                      </c:pt>
                      <c:pt idx="1">
                        <c:v>Llenar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EF9-47C0-9B3B-958D1CA10B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EF9-47C0-9B3B-958D1CA10B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EF9-47C0-9B3B-958D1CA10B7C}"/>
                    </c:ext>
                  </c:extLst>
                </c:dPt>
                <c:cat>
                  <c:multiLvlStrRef>
                    <c:extLst>
                      <c:ext xmlns:c15="http://schemas.microsoft.com/office/drawing/2012/chart" uri="{02D57815-91ED-43cb-92C2-25804820EDAC}">
                        <c15:fullRef>
                          <c15:sqref>'DÓNDE ESTAMOS'!$A$3:$B$8</c15:sqref>
                        </c15:fullRef>
                        <c15:formulaRef>
                          <c15:sqref>'DÓNDE ESTAMOS'!$A$6:$B$8</c15:sqref>
                        </c15:formulaRef>
                      </c:ext>
                    </c:extLst>
                    <c:multiLvlStrCache>
                      <c:ptCount val="3"/>
                      <c:lvl>
                        <c:pt idx="0">
                          <c:v>Colombia</c:v>
                        </c:pt>
                        <c:pt idx="1">
                          <c:v>Otro pais</c:v>
                        </c:pt>
                        <c:pt idx="2">
                          <c:v>Sin información</c:v>
                        </c:pt>
                      </c:lvl>
                      <c:lvl>
                        <c:pt idx="0">
                          <c:v>Lugar de nacimiento</c:v>
                        </c:pt>
                      </c:lvl>
                    </c:multiLvlStrCache>
                  </c:multiLvlStrRef>
                </c:cat>
                <c:val>
                  <c:numRef>
                    <c:extLst>
                      <c:ext xmlns:c15="http://schemas.microsoft.com/office/drawing/2012/chart" uri="{02D57815-91ED-43cb-92C2-25804820EDAC}">
                        <c15:fullRef>
                          <c15:sqref>'DÓNDE ESTAMOS'!$E$3:$E$8</c15:sqref>
                        </c15:fullRef>
                        <c15:formulaRef>
                          <c15:sqref>'DÓNDE ESTAMOS'!$E$6:$E$8</c15:sqref>
                        </c15:formulaRef>
                      </c:ext>
                    </c:extLst>
                    <c:numCache>
                      <c:formatCode>General</c:formatCode>
                      <c:ptCount val="3"/>
                      <c:pt idx="0">
                        <c:v>96.6</c:v>
                      </c:pt>
                      <c:pt idx="1">
                        <c:v>2.2000000000000002</c:v>
                      </c:pt>
                      <c:pt idx="2">
                        <c:v>1.2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A6D0-4DF6-8DE1-014234199315}"/>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pieChart>
        <c:varyColors val="1"/>
        <c:ser>
          <c:idx val="0"/>
          <c:order val="0"/>
          <c:tx>
            <c:strRef>
              <c:f>'CÓMO VIVIMOS'!$C$1:$C$2</c:f>
              <c:strCache>
                <c:ptCount val="2"/>
                <c:pt idx="0">
                  <c:v>Total de personas censadas</c:v>
                </c:pt>
                <c:pt idx="1">
                  <c:v>Frecuencia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7F7-42C0-8782-00AF9F16356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7F7-42C0-8782-00AF9F16356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7F7-42C0-8782-00AF9F16356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7F7-42C0-8782-00AF9F16356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7F7-42C0-8782-00AF9F16356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7F7-42C0-8782-00AF9F16356A}"/>
              </c:ext>
            </c:extLst>
          </c:dPt>
          <c:cat>
            <c:multiLvlStrRef>
              <c:extLst>
                <c:ext xmlns:c15="http://schemas.microsoft.com/office/drawing/2012/chart" uri="{02D57815-91ED-43cb-92C2-25804820EDAC}">
                  <c15:fullRef>
                    <c15:sqref>'CÓMO VIVIMOS'!$A$3:$B$15</c15:sqref>
                  </c15:fullRef>
                </c:ext>
              </c:extLst>
              <c:f>'CÓMO VIVIMOS'!$A$3:$B$8</c:f>
              <c:multiLvlStrCache>
                <c:ptCount val="6"/>
                <c:lvl>
                  <c:pt idx="0">
                    <c:v>E. Electrica</c:v>
                  </c:pt>
                  <c:pt idx="1">
                    <c:v>Acueducto </c:v>
                  </c:pt>
                  <c:pt idx="2">
                    <c:v>Alcantarillado</c:v>
                  </c:pt>
                  <c:pt idx="3">
                    <c:v>Gas </c:v>
                  </c:pt>
                  <c:pt idx="4">
                    <c:v>Aseo</c:v>
                  </c:pt>
                  <c:pt idx="5">
                    <c:v>Internet</c:v>
                  </c:pt>
                </c:lvl>
                <c:lvl>
                  <c:pt idx="0">
                    <c:v>Servicios publicos</c:v>
                  </c:pt>
                </c:lvl>
              </c:multiLvlStrCache>
            </c:multiLvlStrRef>
          </c:cat>
          <c:val>
            <c:numRef>
              <c:extLst>
                <c:ext xmlns:c15="http://schemas.microsoft.com/office/drawing/2012/chart" uri="{02D57815-91ED-43cb-92C2-25804820EDAC}">
                  <c15:fullRef>
                    <c15:sqref>'CÓMO VIVIMOS'!$C$3:$C$15</c15:sqref>
                  </c15:fullRef>
                </c:ext>
              </c:extLst>
              <c:f>'CÓMO VIVIMOS'!$C$3:$C$8</c:f>
              <c:numCache>
                <c:formatCode>0</c:formatCode>
                <c:ptCount val="6"/>
                <c:pt idx="0">
                  <c:v>46472929.721999995</c:v>
                </c:pt>
                <c:pt idx="1">
                  <c:v>41695338.816000007</c:v>
                </c:pt>
                <c:pt idx="2">
                  <c:v>36966006.403999992</c:v>
                </c:pt>
                <c:pt idx="3">
                  <c:v>32236673.991999995</c:v>
                </c:pt>
                <c:pt idx="4">
                  <c:v>39378931.103999995</c:v>
                </c:pt>
                <c:pt idx="5">
                  <c:v>20944186.396000002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B747-42CE-A2F4-9B12E1539D17}"/>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'CÓMO VIVIMOS'!$D$1:$D$2</c15:sqref>
                        </c15:formulaRef>
                      </c:ext>
                    </c:extLst>
                    <c:strCache>
                      <c:ptCount val="2"/>
                      <c:pt idx="0">
                        <c:v>48258494</c:v>
                      </c:pt>
                      <c:pt idx="1">
                        <c:v>FRECUENCIA PORCENTUAL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7F7-42C0-8782-00AF9F16356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7F7-42C0-8782-00AF9F16356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7F7-42C0-8782-00AF9F16356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7F7-42C0-8782-00AF9F16356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7F7-42C0-8782-00AF9F16356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7F7-42C0-8782-00AF9F16356A}"/>
                    </c:ext>
                  </c:extLst>
                </c:dPt>
                <c:cat>
                  <c:multiLvlStrRef>
                    <c:extLst>
                      <c:ext uri="{02D57815-91ED-43cb-92C2-25804820EDAC}">
                        <c15:fullRef>
                          <c15:sqref>'CÓMO VIVIMOS'!$A$3:$B$15</c15:sqref>
                        </c15:fullRef>
                        <c15:formulaRef>
                          <c15:sqref>'CÓMO VIVIMOS'!$A$3:$B$8</c15:sqref>
                        </c15:formulaRef>
                      </c:ext>
                    </c:extLst>
                    <c:multiLvlStrCache>
                      <c:ptCount val="6"/>
                      <c:lvl>
                        <c:pt idx="0">
                          <c:v>E. Electrica</c:v>
                        </c:pt>
                        <c:pt idx="1">
                          <c:v>Acueducto </c:v>
                        </c:pt>
                        <c:pt idx="2">
                          <c:v>Alcantarillado</c:v>
                        </c:pt>
                        <c:pt idx="3">
                          <c:v>Gas </c:v>
                        </c:pt>
                        <c:pt idx="4">
                          <c:v>Aseo</c:v>
                        </c:pt>
                        <c:pt idx="5">
                          <c:v>Internet</c:v>
                        </c:pt>
                      </c:lvl>
                      <c:lvl>
                        <c:pt idx="0">
                          <c:v>Servicios publicos</c:v>
                        </c:pt>
                      </c:lvl>
                    </c:multiLvlStrCache>
                  </c:multiLvlStrRef>
                </c:cat>
                <c:val>
                  <c:numRef>
                    <c:extLst>
                      <c:ext uri="{02D57815-91ED-43cb-92C2-25804820EDAC}">
                        <c15:fullRef>
                          <c15:sqref>'CÓMO VIVIMOS'!$D$3:$D$15</c15:sqref>
                        </c15:fullRef>
                        <c15:formulaRef>
                          <c15:sqref>'CÓMO VIVIMOS'!$D$3:$D$8</c15:sqref>
                        </c15:formulaRef>
                      </c:ext>
                    </c:extLst>
                    <c:numCache>
                      <c:formatCode>0.0%</c:formatCode>
                      <c:ptCount val="6"/>
                      <c:pt idx="0">
                        <c:v>0.96299999999999997</c:v>
                      </c:pt>
                      <c:pt idx="1">
                        <c:v>0.8640000000000001</c:v>
                      </c:pt>
                      <c:pt idx="2">
                        <c:v>0.7659999999999999</c:v>
                      </c:pt>
                      <c:pt idx="3">
                        <c:v>0.66799999999999993</c:v>
                      </c:pt>
                      <c:pt idx="4">
                        <c:v>0.81599999999999995</c:v>
                      </c:pt>
                      <c:pt idx="5">
                        <c:v>0.434</c:v>
                      </c:pt>
                    </c:numCache>
                  </c:numRef>
                </c:val>
                <c:extLst>
                  <c:ext uri="{02D57815-91ED-43cb-92C2-25804820EDAC}">
                    <c15:categoryFilterExceptions/>
                  </c:ext>
                  <c:ext xmlns:c16="http://schemas.microsoft.com/office/drawing/2014/chart" uri="{C3380CC4-5D6E-409C-BE32-E72D297353CC}">
                    <c16:uniqueId val="{00000001-B747-42CE-A2F4-9B12E1539D17}"/>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'CÓMO VIVIMOS'!$E$1:$E$2</c15:sqref>
                        </c15:formulaRef>
                      </c:ext>
                    </c:extLst>
                    <c:strCache>
                      <c:ptCount val="2"/>
                      <c:pt idx="0">
                        <c:v>48258494</c:v>
                      </c:pt>
                      <c:pt idx="1">
                        <c:v>Llenar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7F7-42C0-8782-00AF9F16356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7F7-42C0-8782-00AF9F16356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7F7-42C0-8782-00AF9F16356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7F7-42C0-8782-00AF9F16356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77F7-42C0-8782-00AF9F16356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77F7-42C0-8782-00AF9F16356A}"/>
                    </c:ext>
                  </c:extLst>
                </c:dPt>
                <c:cat>
                  <c:multiLvlStrRef>
                    <c:extLst>
                      <c:ext xmlns:c15="http://schemas.microsoft.com/office/drawing/2012/chart" uri="{02D57815-91ED-43cb-92C2-25804820EDAC}">
                        <c15:fullRef>
                          <c15:sqref>'CÓMO VIVIMOS'!$A$3:$B$15</c15:sqref>
                        </c15:fullRef>
                        <c15:formulaRef>
                          <c15:sqref>'CÓMO VIVIMOS'!$A$3:$B$8</c15:sqref>
                        </c15:formulaRef>
                      </c:ext>
                    </c:extLst>
                    <c:multiLvlStrCache>
                      <c:ptCount val="6"/>
                      <c:lvl>
                        <c:pt idx="0">
                          <c:v>E. Electrica</c:v>
                        </c:pt>
                        <c:pt idx="1">
                          <c:v>Acueducto </c:v>
                        </c:pt>
                        <c:pt idx="2">
                          <c:v>Alcantarillado</c:v>
                        </c:pt>
                        <c:pt idx="3">
                          <c:v>Gas </c:v>
                        </c:pt>
                        <c:pt idx="4">
                          <c:v>Aseo</c:v>
                        </c:pt>
                        <c:pt idx="5">
                          <c:v>Internet</c:v>
                        </c:pt>
                      </c:lvl>
                      <c:lvl>
                        <c:pt idx="0">
                          <c:v>Servicios publicos</c:v>
                        </c:pt>
                      </c:lvl>
                    </c:multiLvlStrCache>
                  </c:multiLvlStrRef>
                </c:cat>
                <c:val>
                  <c:numRef>
                    <c:extLst>
                      <c:ext xmlns:c15="http://schemas.microsoft.com/office/drawing/2012/chart" uri="{02D57815-91ED-43cb-92C2-25804820EDAC}">
                        <c15:fullRef>
                          <c15:sqref>'CÓMO VIVIMOS'!$E$3:$E$15</c15:sqref>
                        </c15:fullRef>
                        <c15:formulaRef>
                          <c15:sqref>'CÓMO VIVIMOS'!$E$3:$E$8</c15:sqref>
                        </c15:formulaRef>
                      </c:ext>
                    </c:extLst>
                    <c:numCache>
                      <c:formatCode>General</c:formatCode>
                      <c:ptCount val="6"/>
                      <c:pt idx="0">
                        <c:v>96.3</c:v>
                      </c:pt>
                      <c:pt idx="1">
                        <c:v>86.4</c:v>
                      </c:pt>
                      <c:pt idx="2">
                        <c:v>76.599999999999994</c:v>
                      </c:pt>
                      <c:pt idx="3">
                        <c:v>66.8</c:v>
                      </c:pt>
                      <c:pt idx="4">
                        <c:v>81.599999999999994</c:v>
                      </c:pt>
                      <c:pt idx="5">
                        <c:v>43.4</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B747-42CE-A2F4-9B12E1539D17}"/>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pieChart>
        <c:varyColors val="1"/>
        <c:ser>
          <c:idx val="0"/>
          <c:order val="0"/>
          <c:tx>
            <c:strRef>
              <c:f>'CÓMO VIVIMOS'!$C$1:$C$2</c:f>
              <c:strCache>
                <c:ptCount val="2"/>
                <c:pt idx="0">
                  <c:v>Total de personas censadas</c:v>
                </c:pt>
                <c:pt idx="1">
                  <c:v>Frecuencia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C1-4B4A-BD2D-0492ED1AC0D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C1-4B4A-BD2D-0492ED1AC0D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8C1-4B4A-BD2D-0492ED1AC0D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8C1-4B4A-BD2D-0492ED1AC0D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8C1-4B4A-BD2D-0492ED1AC0D1}"/>
              </c:ext>
            </c:extLst>
          </c:dPt>
          <c:cat>
            <c:multiLvlStrRef>
              <c:extLst>
                <c:ext xmlns:c15="http://schemas.microsoft.com/office/drawing/2012/chart" uri="{02D57815-91ED-43cb-92C2-25804820EDAC}">
                  <c15:fullRef>
                    <c15:sqref>'CÓMO VIVIMOS'!$A$3:$B$15</c15:sqref>
                  </c15:fullRef>
                </c:ext>
              </c:extLst>
              <c:f>'CÓMO VIVIMOS'!$A$9:$B$13</c:f>
              <c:multiLvlStrCache>
                <c:ptCount val="5"/>
                <c:lvl>
                  <c:pt idx="0">
                    <c:v>1 Persona</c:v>
                  </c:pt>
                  <c:pt idx="1">
                    <c:v>2 Personas</c:v>
                  </c:pt>
                  <c:pt idx="2">
                    <c:v>3 Personas</c:v>
                  </c:pt>
                  <c:pt idx="3">
                    <c:v>4 personas</c:v>
                  </c:pt>
                  <c:pt idx="4">
                    <c:v>5 Personas y mas  </c:v>
                  </c:pt>
                </c:lvl>
                <c:lvl>
                  <c:pt idx="0">
                    <c:v>N° Personas en el hogar</c:v>
                  </c:pt>
                </c:lvl>
              </c:multiLvlStrCache>
            </c:multiLvlStrRef>
          </c:cat>
          <c:val>
            <c:numRef>
              <c:extLst>
                <c:ext xmlns:c15="http://schemas.microsoft.com/office/drawing/2012/chart" uri="{02D57815-91ED-43cb-92C2-25804820EDAC}">
                  <c15:fullRef>
                    <c15:sqref>'CÓMO VIVIMOS'!$C$3:$C$15</c15:sqref>
                  </c15:fullRef>
                </c:ext>
              </c:extLst>
              <c:f>'CÓMO VIVIMOS'!$C$9:$C$13</c:f>
              <c:numCache>
                <c:formatCode>0</c:formatCode>
                <c:ptCount val="5"/>
                <c:pt idx="0">
                  <c:v>8927821.3900000006</c:v>
                </c:pt>
                <c:pt idx="1">
                  <c:v>10472093.198000001</c:v>
                </c:pt>
                <c:pt idx="2">
                  <c:v>11195970.607999999</c:v>
                </c:pt>
                <c:pt idx="3">
                  <c:v>9410406.3300000001</c:v>
                </c:pt>
                <c:pt idx="4">
                  <c:v>8107426.9920000006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C065-4AB9-B973-32E85ECDF1B8}"/>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'CÓMO VIVIMOS'!$D$1:$D$2</c15:sqref>
                        </c15:formulaRef>
                      </c:ext>
                    </c:extLst>
                    <c:strCache>
                      <c:ptCount val="2"/>
                      <c:pt idx="0">
                        <c:v>48258494</c:v>
                      </c:pt>
                      <c:pt idx="1">
                        <c:v>FRECUENCIA PORCENTUAL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8C1-4B4A-BD2D-0492ED1AC0D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8C1-4B4A-BD2D-0492ED1AC0D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8C1-4B4A-BD2D-0492ED1AC0D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8C1-4B4A-BD2D-0492ED1AC0D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8C1-4B4A-BD2D-0492ED1AC0D1}"/>
                    </c:ext>
                  </c:extLst>
                </c:dPt>
                <c:cat>
                  <c:multiLvlStrRef>
                    <c:extLst>
                      <c:ext uri="{02D57815-91ED-43cb-92C2-25804820EDAC}">
                        <c15:fullRef>
                          <c15:sqref>'CÓMO VIVIMOS'!$A$3:$B$15</c15:sqref>
                        </c15:fullRef>
                        <c15:formulaRef>
                          <c15:sqref>'CÓMO VIVIMOS'!$A$9:$B$13</c15:sqref>
                        </c15:formulaRef>
                      </c:ext>
                    </c:extLst>
                    <c:multiLvlStrCache>
                      <c:ptCount val="5"/>
                      <c:lvl>
                        <c:pt idx="0">
                          <c:v>1 Persona</c:v>
                        </c:pt>
                        <c:pt idx="1">
                          <c:v>2 Personas</c:v>
                        </c:pt>
                        <c:pt idx="2">
                          <c:v>3 Personas</c:v>
                        </c:pt>
                        <c:pt idx="3">
                          <c:v>4 personas</c:v>
                        </c:pt>
                        <c:pt idx="4">
                          <c:v>5 Personas y mas  </c:v>
                        </c:pt>
                      </c:lvl>
                      <c:lvl>
                        <c:pt idx="0">
                          <c:v>N° Personas en el hogar</c:v>
                        </c:pt>
                      </c:lvl>
                    </c:multiLvlStrCache>
                  </c:multiLvlStrRef>
                </c:cat>
                <c:val>
                  <c:numRef>
                    <c:extLst>
                      <c:ext uri="{02D57815-91ED-43cb-92C2-25804820EDAC}">
                        <c15:fullRef>
                          <c15:sqref>'CÓMO VIVIMOS'!$D$3:$D$15</c15:sqref>
                        </c15:fullRef>
                        <c15:formulaRef>
                          <c15:sqref>'CÓMO VIVIMOS'!$D$9:$D$13</c15:sqref>
                        </c15:formulaRef>
                      </c:ext>
                    </c:extLst>
                    <c:numCache>
                      <c:formatCode>0.0%</c:formatCode>
                      <c:ptCount val="5"/>
                      <c:pt idx="0">
                        <c:v>0.185</c:v>
                      </c:pt>
                      <c:pt idx="1">
                        <c:v>0.217</c:v>
                      </c:pt>
                      <c:pt idx="2">
                        <c:v>0.23199999999999998</c:v>
                      </c:pt>
                      <c:pt idx="3">
                        <c:v>0.19500000000000001</c:v>
                      </c:pt>
                      <c:pt idx="4">
                        <c:v>0.16800000000000001</c:v>
                      </c:pt>
                    </c:numCache>
                  </c:numRef>
                </c:val>
                <c:extLst>
                  <c:ext uri="{02D57815-91ED-43cb-92C2-25804820EDAC}">
                    <c15:categoryFilterExceptions/>
                  </c:ext>
                  <c:ext xmlns:c16="http://schemas.microsoft.com/office/drawing/2014/chart" uri="{C3380CC4-5D6E-409C-BE32-E72D297353CC}">
                    <c16:uniqueId val="{00000001-C065-4AB9-B973-32E85ECDF1B8}"/>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'CÓMO VIVIMOS'!$E$1:$E$2</c15:sqref>
                        </c15:formulaRef>
                      </c:ext>
                    </c:extLst>
                    <c:strCache>
                      <c:ptCount val="2"/>
                      <c:pt idx="0">
                        <c:v>48258494</c:v>
                      </c:pt>
                      <c:pt idx="1">
                        <c:v>Llenar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8C1-4B4A-BD2D-0492ED1AC0D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8C1-4B4A-BD2D-0492ED1AC0D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8C1-4B4A-BD2D-0492ED1AC0D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8C1-4B4A-BD2D-0492ED1AC0D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8C1-4B4A-BD2D-0492ED1AC0D1}"/>
                    </c:ext>
                  </c:extLst>
                </c:dPt>
                <c:cat>
                  <c:multiLvlStrRef>
                    <c:extLst>
                      <c:ext xmlns:c15="http://schemas.microsoft.com/office/drawing/2012/chart" uri="{02D57815-91ED-43cb-92C2-25804820EDAC}">
                        <c15:fullRef>
                          <c15:sqref>'CÓMO VIVIMOS'!$A$3:$B$15</c15:sqref>
                        </c15:fullRef>
                        <c15:formulaRef>
                          <c15:sqref>'CÓMO VIVIMOS'!$A$9:$B$13</c15:sqref>
                        </c15:formulaRef>
                      </c:ext>
                    </c:extLst>
                    <c:multiLvlStrCache>
                      <c:ptCount val="5"/>
                      <c:lvl>
                        <c:pt idx="0">
                          <c:v>1 Persona</c:v>
                        </c:pt>
                        <c:pt idx="1">
                          <c:v>2 Personas</c:v>
                        </c:pt>
                        <c:pt idx="2">
                          <c:v>3 Personas</c:v>
                        </c:pt>
                        <c:pt idx="3">
                          <c:v>4 personas</c:v>
                        </c:pt>
                        <c:pt idx="4">
                          <c:v>5 Personas y mas  </c:v>
                        </c:pt>
                      </c:lvl>
                      <c:lvl>
                        <c:pt idx="0">
                          <c:v>N° Personas en el hogar</c:v>
                        </c:pt>
                      </c:lvl>
                    </c:multiLvlStrCache>
                  </c:multiLvlStrRef>
                </c:cat>
                <c:val>
                  <c:numRef>
                    <c:extLst>
                      <c:ext xmlns:c15="http://schemas.microsoft.com/office/drawing/2012/chart" uri="{02D57815-91ED-43cb-92C2-25804820EDAC}">
                        <c15:fullRef>
                          <c15:sqref>'CÓMO VIVIMOS'!$E$3:$E$15</c15:sqref>
                        </c15:fullRef>
                        <c15:formulaRef>
                          <c15:sqref>'CÓMO VIVIMOS'!$E$9:$E$13</c15:sqref>
                        </c15:formulaRef>
                      </c:ext>
                    </c:extLst>
                    <c:numCache>
                      <c:formatCode>General</c:formatCode>
                      <c:ptCount val="5"/>
                      <c:pt idx="0">
                        <c:v>18.5</c:v>
                      </c:pt>
                      <c:pt idx="1">
                        <c:v>21.7</c:v>
                      </c:pt>
                      <c:pt idx="2">
                        <c:v>23.2</c:v>
                      </c:pt>
                      <c:pt idx="3">
                        <c:v>19.5</c:v>
                      </c:pt>
                      <c:pt idx="4">
                        <c:v>16.8</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C065-4AB9-B973-32E85ECDF1B8}"/>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pieChart>
        <c:varyColors val="1"/>
        <c:ser>
          <c:idx val="0"/>
          <c:order val="0"/>
          <c:tx>
            <c:strRef>
              <c:f>'CÓMO VIVIMOS'!$C$1:$C$2</c:f>
              <c:strCache>
                <c:ptCount val="2"/>
                <c:pt idx="0">
                  <c:v>Total de personas censadas</c:v>
                </c:pt>
                <c:pt idx="1">
                  <c:v>Frecuencia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DEA-495B-A695-0E709F3BC1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DEA-495B-A695-0E709F3BC15C}"/>
              </c:ext>
            </c:extLst>
          </c:dPt>
          <c:cat>
            <c:multiLvlStrRef>
              <c:extLst>
                <c:ext xmlns:c15="http://schemas.microsoft.com/office/drawing/2012/chart" uri="{02D57815-91ED-43cb-92C2-25804820EDAC}">
                  <c15:fullRef>
                    <c15:sqref>'CÓMO VIVIMOS'!$A$3:$B$15</c15:sqref>
                  </c15:fullRef>
                </c:ext>
              </c:extLst>
              <c:f>'CÓMO VIVIMOS'!$A$14:$B$15</c:f>
              <c:multiLvlStrCache>
                <c:ptCount val="2"/>
                <c:lvl>
                  <c:pt idx="0">
                    <c:v>Hombre</c:v>
                  </c:pt>
                  <c:pt idx="1">
                    <c:v>Mujer</c:v>
                  </c:pt>
                </c:lvl>
                <c:lvl>
                  <c:pt idx="0">
                    <c:v>Jefatura del hogar</c:v>
                  </c:pt>
                </c:lvl>
              </c:multiLvlStrCache>
            </c:multiLvlStrRef>
          </c:cat>
          <c:val>
            <c:numRef>
              <c:extLst>
                <c:ext xmlns:c15="http://schemas.microsoft.com/office/drawing/2012/chart" uri="{02D57815-91ED-43cb-92C2-25804820EDAC}">
                  <c15:fullRef>
                    <c15:sqref>'CÓMO VIVIMOS'!$C$3:$C$15</c15:sqref>
                  </c15:fullRef>
                </c:ext>
              </c:extLst>
              <c:f>'CÓMO VIVIMOS'!$C$14:$C$15</c:f>
              <c:numCache>
                <c:formatCode>0</c:formatCode>
                <c:ptCount val="2"/>
                <c:pt idx="0">
                  <c:v>28617286.941999998</c:v>
                </c:pt>
                <c:pt idx="1">
                  <c:v>19641207.058000002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E105-48D6-81CB-AB6A50041E37}"/>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'CÓMO VIVIMOS'!$D$1:$D$2</c15:sqref>
                        </c15:formulaRef>
                      </c:ext>
                    </c:extLst>
                    <c:strCache>
                      <c:ptCount val="2"/>
                      <c:pt idx="0">
                        <c:v>48258494</c:v>
                      </c:pt>
                      <c:pt idx="1">
                        <c:v>FRECUENCIA PORCENTUAL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DEA-495B-A695-0E709F3BC1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DEA-495B-A695-0E709F3BC15C}"/>
                    </c:ext>
                  </c:extLst>
                </c:dPt>
                <c:cat>
                  <c:multiLvlStrRef>
                    <c:extLst>
                      <c:ext uri="{02D57815-91ED-43cb-92C2-25804820EDAC}">
                        <c15:fullRef>
                          <c15:sqref>'CÓMO VIVIMOS'!$A$3:$B$15</c15:sqref>
                        </c15:fullRef>
                        <c15:formulaRef>
                          <c15:sqref>'CÓMO VIVIMOS'!$A$14:$B$15</c15:sqref>
                        </c15:formulaRef>
                      </c:ext>
                    </c:extLst>
                    <c:multiLvlStrCache>
                      <c:ptCount val="2"/>
                      <c:lvl>
                        <c:pt idx="0">
                          <c:v>Hombre</c:v>
                        </c:pt>
                        <c:pt idx="1">
                          <c:v>Mujer</c:v>
                        </c:pt>
                      </c:lvl>
                      <c:lvl>
                        <c:pt idx="0">
                          <c:v>Jefatura del hogar</c:v>
                        </c:pt>
                      </c:lvl>
                    </c:multiLvlStrCache>
                  </c:multiLvlStrRef>
                </c:cat>
                <c:val>
                  <c:numRef>
                    <c:extLst>
                      <c:ext uri="{02D57815-91ED-43cb-92C2-25804820EDAC}">
                        <c15:fullRef>
                          <c15:sqref>'CÓMO VIVIMOS'!$D$3:$D$15</c15:sqref>
                        </c15:fullRef>
                        <c15:formulaRef>
                          <c15:sqref>'CÓMO VIVIMOS'!$D$14:$D$15</c15:sqref>
                        </c15:formulaRef>
                      </c:ext>
                    </c:extLst>
                    <c:numCache>
                      <c:formatCode>0.0%</c:formatCode>
                      <c:ptCount val="2"/>
                      <c:pt idx="0">
                        <c:v>0.59299999999999997</c:v>
                      </c:pt>
                      <c:pt idx="1">
                        <c:v>0.40700000000000003</c:v>
                      </c:pt>
                    </c:numCache>
                  </c:numRef>
                </c:val>
                <c:extLst>
                  <c:ext uri="{02D57815-91ED-43cb-92C2-25804820EDAC}">
                    <c15:categoryFilterExceptions/>
                  </c:ext>
                  <c:ext xmlns:c16="http://schemas.microsoft.com/office/drawing/2014/chart" uri="{C3380CC4-5D6E-409C-BE32-E72D297353CC}">
                    <c16:uniqueId val="{00000001-E105-48D6-81CB-AB6A50041E37}"/>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'CÓMO VIVIMOS'!$E$1:$E$2</c15:sqref>
                        </c15:formulaRef>
                      </c:ext>
                    </c:extLst>
                    <c:strCache>
                      <c:ptCount val="2"/>
                      <c:pt idx="0">
                        <c:v>48258494</c:v>
                      </c:pt>
                      <c:pt idx="1">
                        <c:v>Llenar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DEA-495B-A695-0E709F3BC1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DEA-495B-A695-0E709F3BC15C}"/>
                    </c:ext>
                  </c:extLst>
                </c:dPt>
                <c:cat>
                  <c:multiLvlStrRef>
                    <c:extLst>
                      <c:ext xmlns:c15="http://schemas.microsoft.com/office/drawing/2012/chart" uri="{02D57815-91ED-43cb-92C2-25804820EDAC}">
                        <c15:fullRef>
                          <c15:sqref>'CÓMO VIVIMOS'!$A$3:$B$15</c15:sqref>
                        </c15:fullRef>
                        <c15:formulaRef>
                          <c15:sqref>'CÓMO VIVIMOS'!$A$14:$B$15</c15:sqref>
                        </c15:formulaRef>
                      </c:ext>
                    </c:extLst>
                    <c:multiLvlStrCache>
                      <c:ptCount val="2"/>
                      <c:lvl>
                        <c:pt idx="0">
                          <c:v>Hombre</c:v>
                        </c:pt>
                        <c:pt idx="1">
                          <c:v>Mujer</c:v>
                        </c:pt>
                      </c:lvl>
                      <c:lvl>
                        <c:pt idx="0">
                          <c:v>Jefatura del hogar</c:v>
                        </c:pt>
                      </c:lvl>
                    </c:multiLvlStrCache>
                  </c:multiLvlStrRef>
                </c:cat>
                <c:val>
                  <c:numRef>
                    <c:extLst>
                      <c:ext xmlns:c15="http://schemas.microsoft.com/office/drawing/2012/chart" uri="{02D57815-91ED-43cb-92C2-25804820EDAC}">
                        <c15:fullRef>
                          <c15:sqref>'CÓMO VIVIMOS'!$E$3:$E$15</c15:sqref>
                        </c15:fullRef>
                        <c15:formulaRef>
                          <c15:sqref>'CÓMO VIVIMOS'!$E$14:$E$15</c15:sqref>
                        </c15:formulaRef>
                      </c:ext>
                    </c:extLst>
                    <c:numCache>
                      <c:formatCode>General</c:formatCode>
                      <c:ptCount val="2"/>
                      <c:pt idx="0">
                        <c:v>59.3</c:v>
                      </c:pt>
                      <c:pt idx="1">
                        <c:v>40.700000000000003</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E105-48D6-81CB-AB6A50041E37}"/>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2</xdr:col>
      <xdr:colOff>933450</xdr:colOff>
      <xdr:row>10</xdr:row>
      <xdr:rowOff>123825</xdr:rowOff>
    </xdr:from>
    <xdr:ext cx="2933700" cy="3076575"/>
    <xdr:pic>
      <xdr:nvPicPr>
        <xdr:cNvPr id="2" name="image5.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209550</xdr:colOff>
      <xdr:row>10</xdr:row>
      <xdr:rowOff>133350</xdr:rowOff>
    </xdr:from>
    <xdr:ext cx="2457450" cy="3476625"/>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371475</xdr:colOff>
      <xdr:row>10</xdr:row>
      <xdr:rowOff>114300</xdr:rowOff>
    </xdr:from>
    <xdr:ext cx="3429000" cy="2724150"/>
    <xdr:pic>
      <xdr:nvPicPr>
        <xdr:cNvPr id="4" name="image1.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xdr:from>
      <xdr:col>12</xdr:col>
      <xdr:colOff>47625</xdr:colOff>
      <xdr:row>1</xdr:row>
      <xdr:rowOff>4762</xdr:rowOff>
    </xdr:from>
    <xdr:to>
      <xdr:col>18</xdr:col>
      <xdr:colOff>333375</xdr:colOff>
      <xdr:row>16</xdr:row>
      <xdr:rowOff>33337</xdr:rowOff>
    </xdr:to>
    <xdr:graphicFrame macro="">
      <xdr:nvGraphicFramePr>
        <xdr:cNvPr id="5" name="Gráfico 4">
          <a:extLst>
            <a:ext uri="{FF2B5EF4-FFF2-40B4-BE49-F238E27FC236}">
              <a16:creationId xmlns:a16="http://schemas.microsoft.com/office/drawing/2014/main" id="{7368980B-B88C-F8A5-AE92-467B5B2D2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66675</xdr:colOff>
      <xdr:row>18</xdr:row>
      <xdr:rowOff>147637</xdr:rowOff>
    </xdr:from>
    <xdr:to>
      <xdr:col>18</xdr:col>
      <xdr:colOff>352425</xdr:colOff>
      <xdr:row>33</xdr:row>
      <xdr:rowOff>176212</xdr:rowOff>
    </xdr:to>
    <xdr:graphicFrame macro="">
      <xdr:nvGraphicFramePr>
        <xdr:cNvPr id="6" name="Gráfico 5">
          <a:extLst>
            <a:ext uri="{FF2B5EF4-FFF2-40B4-BE49-F238E27FC236}">
              <a16:creationId xmlns:a16="http://schemas.microsoft.com/office/drawing/2014/main" id="{739B9EE5-78F5-049C-4036-1FD370537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161925</xdr:colOff>
      <xdr:row>9</xdr:row>
      <xdr:rowOff>28575</xdr:rowOff>
    </xdr:from>
    <xdr:ext cx="7181850" cy="3743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209550</xdr:colOff>
      <xdr:row>0</xdr:row>
      <xdr:rowOff>0</xdr:rowOff>
    </xdr:from>
    <xdr:ext cx="5838825" cy="2486025"/>
    <xdr:pic>
      <xdr:nvPicPr>
        <xdr:cNvPr id="3" name="image6.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5505450" y="0"/>
          <a:ext cx="5838825" cy="2486025"/>
        </a:xfrm>
        <a:prstGeom prst="rect">
          <a:avLst/>
        </a:prstGeom>
        <a:noFill/>
      </xdr:spPr>
    </xdr:pic>
    <xdr:clientData fLocksWithSheet="0"/>
  </xdr:oneCellAnchor>
  <xdr:twoCellAnchor>
    <xdr:from>
      <xdr:col>14</xdr:col>
      <xdr:colOff>638175</xdr:colOff>
      <xdr:row>1</xdr:row>
      <xdr:rowOff>23812</xdr:rowOff>
    </xdr:from>
    <xdr:to>
      <xdr:col>21</xdr:col>
      <xdr:colOff>209550</xdr:colOff>
      <xdr:row>16</xdr:row>
      <xdr:rowOff>52387</xdr:rowOff>
    </xdr:to>
    <xdr:graphicFrame macro="">
      <xdr:nvGraphicFramePr>
        <xdr:cNvPr id="4" name="Gráfico 3">
          <a:extLst>
            <a:ext uri="{FF2B5EF4-FFF2-40B4-BE49-F238E27FC236}">
              <a16:creationId xmlns:a16="http://schemas.microsoft.com/office/drawing/2014/main" id="{56548582-E880-8533-0467-BF80EBAAF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628650</xdr:colOff>
      <xdr:row>19</xdr:row>
      <xdr:rowOff>52387</xdr:rowOff>
    </xdr:from>
    <xdr:to>
      <xdr:col>21</xdr:col>
      <xdr:colOff>200025</xdr:colOff>
      <xdr:row>34</xdr:row>
      <xdr:rowOff>80962</xdr:rowOff>
    </xdr:to>
    <xdr:graphicFrame macro="">
      <xdr:nvGraphicFramePr>
        <xdr:cNvPr id="5" name="Gráfico 4">
          <a:extLst>
            <a:ext uri="{FF2B5EF4-FFF2-40B4-BE49-F238E27FC236}">
              <a16:creationId xmlns:a16="http://schemas.microsoft.com/office/drawing/2014/main" id="{675BD090-3896-9281-24FA-6D507D614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16</xdr:row>
      <xdr:rowOff>113479</xdr:rowOff>
    </xdr:from>
    <xdr:ext cx="4905375" cy="3857625"/>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0" y="2954835"/>
          <a:ext cx="4905375" cy="3857625"/>
        </a:xfrm>
        <a:prstGeom prst="rect">
          <a:avLst/>
        </a:prstGeom>
        <a:noFill/>
      </xdr:spPr>
    </xdr:pic>
    <xdr:clientData fLocksWithSheet="0"/>
  </xdr:oneCellAnchor>
  <xdr:oneCellAnchor>
    <xdr:from>
      <xdr:col>5</xdr:col>
      <xdr:colOff>341769</xdr:colOff>
      <xdr:row>1</xdr:row>
      <xdr:rowOff>106389</xdr:rowOff>
    </xdr:from>
    <xdr:ext cx="5981700" cy="2676525"/>
    <xdr:pic>
      <xdr:nvPicPr>
        <xdr:cNvPr id="3" name="image8.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xfrm>
          <a:off x="5669311" y="283974"/>
          <a:ext cx="5981700" cy="2676525"/>
        </a:xfrm>
        <a:prstGeom prst="rect">
          <a:avLst/>
        </a:prstGeom>
        <a:noFill/>
      </xdr:spPr>
    </xdr:pic>
    <xdr:clientData fLocksWithSheet="0"/>
  </xdr:oneCellAnchor>
  <xdr:oneCellAnchor>
    <xdr:from>
      <xdr:col>5</xdr:col>
      <xdr:colOff>632202</xdr:colOff>
      <xdr:row>20</xdr:row>
      <xdr:rowOff>104774</xdr:rowOff>
    </xdr:from>
    <xdr:ext cx="5448300" cy="2733675"/>
    <xdr:pic>
      <xdr:nvPicPr>
        <xdr:cNvPr id="4" name="image7.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xfrm>
          <a:off x="5959744" y="3656469"/>
          <a:ext cx="5448300" cy="2733675"/>
        </a:xfrm>
        <a:prstGeom prst="rect">
          <a:avLst/>
        </a:prstGeom>
        <a:noFill/>
      </xdr:spPr>
    </xdr:pic>
    <xdr:clientData fLocksWithSheet="0"/>
  </xdr:oneCellAnchor>
  <xdr:twoCellAnchor>
    <xdr:from>
      <xdr:col>28</xdr:col>
      <xdr:colOff>696455</xdr:colOff>
      <xdr:row>46</xdr:row>
      <xdr:rowOff>42055</xdr:rowOff>
    </xdr:from>
    <xdr:to>
      <xdr:col>33</xdr:col>
      <xdr:colOff>396983</xdr:colOff>
      <xdr:row>61</xdr:row>
      <xdr:rowOff>70630</xdr:rowOff>
    </xdr:to>
    <xdr:graphicFrame macro="">
      <xdr:nvGraphicFramePr>
        <xdr:cNvPr id="5" name="Gráfico 4">
          <a:extLst>
            <a:ext uri="{FF2B5EF4-FFF2-40B4-BE49-F238E27FC236}">
              <a16:creationId xmlns:a16="http://schemas.microsoft.com/office/drawing/2014/main" id="{B1CEF315-7843-1EDC-69B1-CF29438F3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586675</xdr:colOff>
      <xdr:row>3</xdr:row>
      <xdr:rowOff>174113</xdr:rowOff>
    </xdr:from>
    <xdr:to>
      <xdr:col>33</xdr:col>
      <xdr:colOff>291239</xdr:colOff>
      <xdr:row>19</xdr:row>
      <xdr:rowOff>25103</xdr:rowOff>
    </xdr:to>
    <xdr:graphicFrame macro="">
      <xdr:nvGraphicFramePr>
        <xdr:cNvPr id="6" name="Gráfico 5">
          <a:extLst>
            <a:ext uri="{FF2B5EF4-FFF2-40B4-BE49-F238E27FC236}">
              <a16:creationId xmlns:a16="http://schemas.microsoft.com/office/drawing/2014/main" id="{BB144110-3DDC-8291-C2C2-E12C4FACF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183396</xdr:colOff>
      <xdr:row>22</xdr:row>
      <xdr:rowOff>176212</xdr:rowOff>
    </xdr:from>
    <xdr:to>
      <xdr:col>32</xdr:col>
      <xdr:colOff>856604</xdr:colOff>
      <xdr:row>38</xdr:row>
      <xdr:rowOff>23812</xdr:rowOff>
    </xdr:to>
    <xdr:graphicFrame macro="">
      <xdr:nvGraphicFramePr>
        <xdr:cNvPr id="7" name="Gráfico 6">
          <a:extLst>
            <a:ext uri="{FF2B5EF4-FFF2-40B4-BE49-F238E27FC236}">
              <a16:creationId xmlns:a16="http://schemas.microsoft.com/office/drawing/2014/main" id="{675958F1-7258-504F-4E66-ED642E47B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tomisystems.com/downlo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E7"/>
    </sheetView>
  </sheetViews>
  <sheetFormatPr baseColWidth="10" defaultColWidth="14.42578125" defaultRowHeight="15" customHeight="1" x14ac:dyDescent="0.25"/>
  <cols>
    <col min="1" max="1" width="16.7109375" customWidth="1"/>
    <col min="2" max="3" width="15.5703125" customWidth="1"/>
    <col min="4" max="4" width="20.5703125" customWidth="1"/>
    <col min="5" max="26" width="10.7109375" customWidth="1"/>
  </cols>
  <sheetData>
    <row r="1" spans="1:26" ht="14.25" customHeight="1" thickBot="1" x14ac:dyDescent="0.3">
      <c r="A1" s="78" t="s">
        <v>0</v>
      </c>
      <c r="B1" s="79"/>
      <c r="C1" s="79"/>
      <c r="D1" s="55">
        <v>48258494</v>
      </c>
    </row>
    <row r="2" spans="1:26" ht="14.25" customHeight="1" thickBot="1" x14ac:dyDescent="0.3">
      <c r="A2" s="56" t="s">
        <v>1</v>
      </c>
      <c r="B2" s="57" t="s">
        <v>2</v>
      </c>
      <c r="C2" s="56" t="s">
        <v>3</v>
      </c>
      <c r="D2" s="57"/>
      <c r="E2" s="73" t="s">
        <v>4</v>
      </c>
      <c r="F2" s="4"/>
      <c r="G2" s="4"/>
      <c r="H2" s="4"/>
      <c r="I2" s="4"/>
      <c r="J2" s="4"/>
      <c r="K2" s="4"/>
      <c r="L2" s="4"/>
      <c r="M2" s="4"/>
      <c r="N2" s="4"/>
      <c r="O2" s="4"/>
      <c r="P2" s="4"/>
      <c r="Q2" s="4"/>
      <c r="R2" s="4"/>
      <c r="S2" s="4"/>
      <c r="T2" s="4"/>
      <c r="U2" s="4"/>
      <c r="V2" s="4"/>
      <c r="W2" s="4"/>
      <c r="X2" s="4"/>
      <c r="Y2" s="4"/>
      <c r="Z2" s="4"/>
    </row>
    <row r="3" spans="1:26" ht="14.25" customHeight="1" x14ac:dyDescent="0.25">
      <c r="A3" s="80" t="s">
        <v>5</v>
      </c>
      <c r="B3" s="58" t="s">
        <v>6</v>
      </c>
      <c r="C3" s="68">
        <f>+D3*D1</f>
        <v>23550145.072000001</v>
      </c>
      <c r="D3" s="63">
        <f t="shared" ref="D3:D7" si="0">+E3/100</f>
        <v>0.48799999999999999</v>
      </c>
      <c r="E3" s="74">
        <v>48.8</v>
      </c>
    </row>
    <row r="4" spans="1:26" ht="14.25" customHeight="1" thickBot="1" x14ac:dyDescent="0.3">
      <c r="A4" s="81"/>
      <c r="B4" s="59" t="s">
        <v>7</v>
      </c>
      <c r="C4" s="69">
        <f>+D4*D1</f>
        <v>24708348.927999999</v>
      </c>
      <c r="D4" s="64">
        <f t="shared" si="0"/>
        <v>0.51200000000000001</v>
      </c>
      <c r="E4" s="75">
        <v>51.2</v>
      </c>
    </row>
    <row r="5" spans="1:26" ht="14.25" customHeight="1" x14ac:dyDescent="0.25">
      <c r="A5" s="82" t="s">
        <v>8</v>
      </c>
      <c r="B5" s="60" t="s">
        <v>9</v>
      </c>
      <c r="C5" s="70">
        <f>+D1*D5</f>
        <v>10906419.643999999</v>
      </c>
      <c r="D5" s="65">
        <f t="shared" si="0"/>
        <v>0.22600000000000001</v>
      </c>
      <c r="E5" s="76">
        <v>22.6</v>
      </c>
    </row>
    <row r="6" spans="1:26" ht="14.25" customHeight="1" x14ac:dyDescent="0.25">
      <c r="A6" s="83"/>
      <c r="B6" s="61" t="s">
        <v>10</v>
      </c>
      <c r="C6" s="71">
        <f>+D6*D1</f>
        <v>32912292.908000004</v>
      </c>
      <c r="D6" s="66">
        <f t="shared" si="0"/>
        <v>0.68200000000000005</v>
      </c>
      <c r="E6" s="77">
        <v>68.2</v>
      </c>
    </row>
    <row r="7" spans="1:26" ht="14.25" customHeight="1" thickBot="1" x14ac:dyDescent="0.3">
      <c r="A7" s="81"/>
      <c r="B7" s="62" t="s">
        <v>11</v>
      </c>
      <c r="C7" s="72">
        <f>+D7*D1</f>
        <v>4391522.9539999999</v>
      </c>
      <c r="D7" s="67">
        <f t="shared" si="0"/>
        <v>9.0999999999999998E-2</v>
      </c>
      <c r="E7" s="75">
        <v>9.1</v>
      </c>
    </row>
    <row r="8" spans="1:26" ht="14.25" customHeight="1" x14ac:dyDescent="0.25"/>
    <row r="9" spans="1:26" ht="14.25" customHeight="1" x14ac:dyDescent="0.25"/>
    <row r="10" spans="1:26" ht="14.25" customHeight="1" x14ac:dyDescent="0.25"/>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3">
    <mergeCell ref="A1:C1"/>
    <mergeCell ref="A3:A4"/>
    <mergeCell ref="A5:A7"/>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L19" sqref="L19"/>
    </sheetView>
  </sheetViews>
  <sheetFormatPr baseColWidth="10" defaultColWidth="14.42578125" defaultRowHeight="15" customHeight="1" x14ac:dyDescent="0.25"/>
  <cols>
    <col min="1" max="1" width="16.42578125" customWidth="1"/>
    <col min="2" max="2" width="19.28515625" customWidth="1"/>
    <col min="3" max="3" width="15.5703125" customWidth="1"/>
    <col min="4" max="4" width="17.42578125" customWidth="1"/>
    <col min="5" max="26" width="10.7109375" customWidth="1"/>
  </cols>
  <sheetData>
    <row r="1" spans="1:5" ht="14.25" customHeight="1" x14ac:dyDescent="0.25">
      <c r="A1" s="84" t="s">
        <v>0</v>
      </c>
      <c r="B1" s="85"/>
      <c r="C1" s="86"/>
      <c r="D1" s="10">
        <v>48258494</v>
      </c>
    </row>
    <row r="2" spans="1:5" ht="14.25" customHeight="1" x14ac:dyDescent="0.25">
      <c r="A2" s="1" t="s">
        <v>1</v>
      </c>
      <c r="B2" s="1" t="s">
        <v>2</v>
      </c>
      <c r="C2" s="1" t="s">
        <v>3</v>
      </c>
      <c r="D2" s="2" t="s">
        <v>12</v>
      </c>
      <c r="E2" s="3" t="s">
        <v>4</v>
      </c>
    </row>
    <row r="3" spans="1:5" ht="14.25" customHeight="1" x14ac:dyDescent="0.25">
      <c r="A3" s="87" t="s">
        <v>13</v>
      </c>
      <c r="B3" s="5" t="s">
        <v>14</v>
      </c>
      <c r="C3" s="11">
        <f t="shared" ref="C3:C8" si="0">+$D$1*D3</f>
        <v>37207298.873999998</v>
      </c>
      <c r="D3" s="12">
        <f t="shared" ref="D3:D8" si="1">+E3/100</f>
        <v>0.77099999999999991</v>
      </c>
      <c r="E3" s="6">
        <v>77.099999999999994</v>
      </c>
    </row>
    <row r="4" spans="1:5" ht="14.25" customHeight="1" x14ac:dyDescent="0.25">
      <c r="A4" s="88"/>
      <c r="B4" s="13" t="s">
        <v>15</v>
      </c>
      <c r="C4" s="14">
        <f t="shared" si="0"/>
        <v>3426353.0739999996</v>
      </c>
      <c r="D4" s="15">
        <f t="shared" si="1"/>
        <v>7.0999999999999994E-2</v>
      </c>
      <c r="E4" s="8">
        <v>7.1</v>
      </c>
    </row>
    <row r="5" spans="1:5" ht="14.25" customHeight="1" x14ac:dyDescent="0.25">
      <c r="A5" s="89"/>
      <c r="B5" s="16" t="s">
        <v>16</v>
      </c>
      <c r="C5" s="17">
        <f t="shared" si="0"/>
        <v>7624842.0520000001</v>
      </c>
      <c r="D5" s="18">
        <f t="shared" si="1"/>
        <v>0.158</v>
      </c>
      <c r="E5" s="7">
        <v>15.8</v>
      </c>
    </row>
    <row r="6" spans="1:5" ht="14.25" customHeight="1" x14ac:dyDescent="0.25">
      <c r="A6" s="90" t="s">
        <v>17</v>
      </c>
      <c r="B6" s="19" t="s">
        <v>18</v>
      </c>
      <c r="C6" s="20">
        <f t="shared" si="0"/>
        <v>46617705.203999996</v>
      </c>
      <c r="D6" s="21">
        <f t="shared" si="1"/>
        <v>0.96599999999999997</v>
      </c>
      <c r="E6" s="6">
        <v>96.6</v>
      </c>
    </row>
    <row r="7" spans="1:5" ht="14.25" customHeight="1" x14ac:dyDescent="0.25">
      <c r="A7" s="91"/>
      <c r="B7" s="22" t="s">
        <v>19</v>
      </c>
      <c r="C7" s="23">
        <f t="shared" si="0"/>
        <v>1061686.868</v>
      </c>
      <c r="D7" s="24">
        <f t="shared" si="1"/>
        <v>2.2000000000000002E-2</v>
      </c>
      <c r="E7" s="8">
        <v>2.2000000000000002</v>
      </c>
    </row>
    <row r="8" spans="1:5" ht="14.25" customHeight="1" x14ac:dyDescent="0.25">
      <c r="A8" s="92"/>
      <c r="B8" s="9" t="s">
        <v>20</v>
      </c>
      <c r="C8" s="25">
        <f t="shared" si="0"/>
        <v>579101.92799999996</v>
      </c>
      <c r="D8" s="26">
        <f t="shared" si="1"/>
        <v>1.2E-2</v>
      </c>
      <c r="E8" s="7">
        <v>1.2</v>
      </c>
    </row>
    <row r="9" spans="1:5" ht="14.25" customHeight="1" x14ac:dyDescent="0.25"/>
    <row r="10" spans="1:5" ht="14.25" customHeight="1" x14ac:dyDescent="0.25"/>
    <row r="11" spans="1:5" ht="14.25" customHeight="1" x14ac:dyDescent="0.25"/>
    <row r="12" spans="1:5" ht="14.25" customHeight="1" x14ac:dyDescent="0.25"/>
    <row r="13" spans="1:5" ht="14.25" customHeight="1" x14ac:dyDescent="0.25"/>
    <row r="14" spans="1:5" ht="14.25" customHeight="1" x14ac:dyDescent="0.25"/>
    <row r="15" spans="1:5" ht="14.25" customHeight="1" x14ac:dyDescent="0.25"/>
    <row r="16" spans="1: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3">
    <mergeCell ref="A1:C1"/>
    <mergeCell ref="A3:A5"/>
    <mergeCell ref="A6:A8"/>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tabSelected="1" zoomScaleNormal="100" workbookViewId="0">
      <selection activeCell="A3" sqref="A3:A8"/>
    </sheetView>
  </sheetViews>
  <sheetFormatPr baseColWidth="10" defaultColWidth="14.42578125" defaultRowHeight="15" customHeight="1" x14ac:dyDescent="0.25"/>
  <cols>
    <col min="1" max="1" width="16.42578125" customWidth="1"/>
    <col min="2" max="2" width="20.85546875" customWidth="1"/>
    <col min="3" max="3" width="15.5703125" customWidth="1"/>
    <col min="4" max="4" width="16.5703125" customWidth="1"/>
    <col min="5" max="26" width="10.7109375" customWidth="1"/>
  </cols>
  <sheetData>
    <row r="1" spans="1:5" ht="14.25" customHeight="1" x14ac:dyDescent="0.25">
      <c r="A1" s="93" t="s">
        <v>0</v>
      </c>
      <c r="B1" s="85"/>
      <c r="C1" s="86"/>
      <c r="D1" s="27">
        <v>48258494</v>
      </c>
      <c r="E1" s="4"/>
    </row>
    <row r="2" spans="1:5" ht="14.25" customHeight="1" x14ac:dyDescent="0.25">
      <c r="A2" s="1" t="s">
        <v>1</v>
      </c>
      <c r="B2" s="1" t="s">
        <v>2</v>
      </c>
      <c r="C2" s="1" t="s">
        <v>3</v>
      </c>
      <c r="D2" s="2" t="s">
        <v>12</v>
      </c>
      <c r="E2" s="3" t="s">
        <v>4</v>
      </c>
    </row>
    <row r="3" spans="1:5" ht="14.25" customHeight="1" x14ac:dyDescent="0.25">
      <c r="A3" s="87" t="s">
        <v>41</v>
      </c>
      <c r="B3" s="28" t="s">
        <v>21</v>
      </c>
      <c r="C3" s="11">
        <f t="shared" ref="C3:C15" si="0">+$D$1*D3</f>
        <v>46472929.721999995</v>
      </c>
      <c r="D3" s="12">
        <f t="shared" ref="D3:D15" si="1">+E3/100</f>
        <v>0.96299999999999997</v>
      </c>
      <c r="E3" s="29">
        <v>96.3</v>
      </c>
    </row>
    <row r="4" spans="1:5" ht="14.25" customHeight="1" x14ac:dyDescent="0.25">
      <c r="A4" s="88"/>
      <c r="B4" s="30" t="s">
        <v>22</v>
      </c>
      <c r="C4" s="31">
        <f t="shared" si="0"/>
        <v>41695338.816000007</v>
      </c>
      <c r="D4" s="32">
        <f t="shared" si="1"/>
        <v>0.8640000000000001</v>
      </c>
      <c r="E4" s="33">
        <v>86.4</v>
      </c>
    </row>
    <row r="5" spans="1:5" ht="14.25" customHeight="1" x14ac:dyDescent="0.25">
      <c r="A5" s="88"/>
      <c r="B5" s="30" t="s">
        <v>23</v>
      </c>
      <c r="C5" s="31">
        <f t="shared" si="0"/>
        <v>36966006.403999992</v>
      </c>
      <c r="D5" s="32">
        <f t="shared" si="1"/>
        <v>0.7659999999999999</v>
      </c>
      <c r="E5" s="33">
        <v>76.599999999999994</v>
      </c>
    </row>
    <row r="6" spans="1:5" ht="14.25" customHeight="1" x14ac:dyDescent="0.25">
      <c r="A6" s="88"/>
      <c r="B6" s="30" t="s">
        <v>24</v>
      </c>
      <c r="C6" s="31">
        <f t="shared" si="0"/>
        <v>32236673.991999995</v>
      </c>
      <c r="D6" s="32">
        <f t="shared" si="1"/>
        <v>0.66799999999999993</v>
      </c>
      <c r="E6" s="33">
        <v>66.8</v>
      </c>
    </row>
    <row r="7" spans="1:5" ht="14.25" customHeight="1" x14ac:dyDescent="0.25">
      <c r="A7" s="88"/>
      <c r="B7" s="34" t="s">
        <v>25</v>
      </c>
      <c r="C7" s="31">
        <f t="shared" si="0"/>
        <v>39378931.103999995</v>
      </c>
      <c r="D7" s="32">
        <f t="shared" si="1"/>
        <v>0.81599999999999995</v>
      </c>
      <c r="E7" s="33">
        <v>81.599999999999994</v>
      </c>
    </row>
    <row r="8" spans="1:5" ht="14.25" customHeight="1" x14ac:dyDescent="0.25">
      <c r="A8" s="89"/>
      <c r="B8" s="35" t="s">
        <v>26</v>
      </c>
      <c r="C8" s="36">
        <f t="shared" si="0"/>
        <v>20944186.396000002</v>
      </c>
      <c r="D8" s="37">
        <f t="shared" si="1"/>
        <v>0.434</v>
      </c>
      <c r="E8" s="38">
        <v>43.4</v>
      </c>
    </row>
    <row r="9" spans="1:5" ht="14.25" customHeight="1" x14ac:dyDescent="0.25">
      <c r="A9" s="90" t="s">
        <v>27</v>
      </c>
      <c r="B9" s="39" t="s">
        <v>28</v>
      </c>
      <c r="C9" s="40">
        <f t="shared" si="0"/>
        <v>8927821.3900000006</v>
      </c>
      <c r="D9" s="41">
        <f t="shared" si="1"/>
        <v>0.185</v>
      </c>
      <c r="E9" s="29">
        <v>18.5</v>
      </c>
    </row>
    <row r="10" spans="1:5" ht="14.25" customHeight="1" x14ac:dyDescent="0.25">
      <c r="A10" s="91"/>
      <c r="B10" s="22" t="s">
        <v>29</v>
      </c>
      <c r="C10" s="23">
        <f t="shared" si="0"/>
        <v>10472093.198000001</v>
      </c>
      <c r="D10" s="24">
        <f t="shared" si="1"/>
        <v>0.217</v>
      </c>
      <c r="E10" s="33">
        <v>21.7</v>
      </c>
    </row>
    <row r="11" spans="1:5" ht="14.25" customHeight="1" x14ac:dyDescent="0.25">
      <c r="A11" s="91"/>
      <c r="B11" s="42" t="s">
        <v>30</v>
      </c>
      <c r="C11" s="43">
        <f t="shared" si="0"/>
        <v>11195970.607999999</v>
      </c>
      <c r="D11" s="44">
        <f t="shared" si="1"/>
        <v>0.23199999999999998</v>
      </c>
      <c r="E11" s="33">
        <v>23.2</v>
      </c>
    </row>
    <row r="12" spans="1:5" ht="14.25" customHeight="1" x14ac:dyDescent="0.25">
      <c r="A12" s="91"/>
      <c r="B12" s="42" t="s">
        <v>31</v>
      </c>
      <c r="C12" s="43">
        <f t="shared" si="0"/>
        <v>9410406.3300000001</v>
      </c>
      <c r="D12" s="44">
        <f t="shared" si="1"/>
        <v>0.19500000000000001</v>
      </c>
      <c r="E12" s="33">
        <v>19.5</v>
      </c>
    </row>
    <row r="13" spans="1:5" ht="14.25" customHeight="1" x14ac:dyDescent="0.25">
      <c r="A13" s="94"/>
      <c r="B13" s="42" t="s">
        <v>32</v>
      </c>
      <c r="C13" s="43">
        <f t="shared" si="0"/>
        <v>8107426.9920000006</v>
      </c>
      <c r="D13" s="44">
        <f t="shared" si="1"/>
        <v>0.16800000000000001</v>
      </c>
      <c r="E13" s="38">
        <v>16.8</v>
      </c>
    </row>
    <row r="14" spans="1:5" ht="14.25" customHeight="1" x14ac:dyDescent="0.25">
      <c r="A14" s="95" t="s">
        <v>33</v>
      </c>
      <c r="B14" s="45" t="s">
        <v>6</v>
      </c>
      <c r="C14" s="46">
        <f t="shared" si="0"/>
        <v>28617286.941999998</v>
      </c>
      <c r="D14" s="47">
        <f t="shared" si="1"/>
        <v>0.59299999999999997</v>
      </c>
      <c r="E14" s="48">
        <v>59.3</v>
      </c>
    </row>
    <row r="15" spans="1:5" ht="14.25" customHeight="1" x14ac:dyDescent="0.25">
      <c r="A15" s="92"/>
      <c r="B15" s="49" t="s">
        <v>7</v>
      </c>
      <c r="C15" s="50">
        <f t="shared" si="0"/>
        <v>19641207.058000002</v>
      </c>
      <c r="D15" s="51">
        <f t="shared" si="1"/>
        <v>0.40700000000000003</v>
      </c>
      <c r="E15" s="38">
        <v>40.700000000000003</v>
      </c>
    </row>
    <row r="16" spans="1: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4">
    <mergeCell ref="A1:C1"/>
    <mergeCell ref="A3:A8"/>
    <mergeCell ref="A9:A13"/>
    <mergeCell ref="A14:A15"/>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0"/>
  <sheetViews>
    <sheetView workbookViewId="0">
      <selection sqref="A1:H18"/>
    </sheetView>
  </sheetViews>
  <sheetFormatPr baseColWidth="10" defaultColWidth="14.42578125" defaultRowHeight="15" customHeight="1" x14ac:dyDescent="0.25"/>
  <cols>
    <col min="1" max="1" width="16.5703125" customWidth="1"/>
    <col min="2" max="2" width="10.7109375" customWidth="1"/>
    <col min="3" max="3" width="7.85546875" customWidth="1"/>
    <col min="4" max="5" width="10.7109375" customWidth="1"/>
    <col min="6" max="6" width="16.140625" customWidth="1"/>
    <col min="7" max="7" width="10.7109375" customWidth="1"/>
    <col min="8" max="8" width="22.140625" customWidth="1"/>
    <col min="9" max="9" width="5.7109375" customWidth="1"/>
    <col min="10" max="10" width="16.85546875" customWidth="1"/>
    <col min="11" max="11" width="6.140625" customWidth="1"/>
    <col min="12" max="12" width="17.7109375" customWidth="1"/>
    <col min="13" max="13" width="3.85546875" customWidth="1"/>
    <col min="14" max="14" width="17.7109375" customWidth="1"/>
    <col min="15" max="26" width="10.7109375" customWidth="1"/>
  </cols>
  <sheetData>
    <row r="1" spans="1:15" ht="14.25" customHeight="1" x14ac:dyDescent="0.25">
      <c r="A1" s="96" t="s">
        <v>34</v>
      </c>
      <c r="B1" s="97"/>
      <c r="C1" s="97"/>
      <c r="D1" s="97"/>
      <c r="E1" s="97"/>
      <c r="F1" s="97"/>
      <c r="G1" s="97"/>
      <c r="H1" s="98"/>
    </row>
    <row r="2" spans="1:15" ht="14.25" customHeight="1" x14ac:dyDescent="0.25">
      <c r="A2" s="99"/>
      <c r="B2" s="100"/>
      <c r="C2" s="100"/>
      <c r="D2" s="100"/>
      <c r="E2" s="100"/>
      <c r="F2" s="100"/>
      <c r="G2" s="100"/>
      <c r="H2" s="101"/>
      <c r="J2" s="52" t="s">
        <v>35</v>
      </c>
      <c r="K2" s="53"/>
      <c r="M2" s="53"/>
    </row>
    <row r="3" spans="1:15" ht="14.25" customHeight="1" x14ac:dyDescent="0.25">
      <c r="A3" s="99"/>
      <c r="B3" s="100"/>
      <c r="C3" s="100"/>
      <c r="D3" s="100"/>
      <c r="E3" s="100"/>
      <c r="F3" s="100"/>
      <c r="G3" s="100"/>
      <c r="H3" s="101"/>
    </row>
    <row r="4" spans="1:15" ht="14.25" customHeight="1" x14ac:dyDescent="0.25">
      <c r="A4" s="99"/>
      <c r="B4" s="100"/>
      <c r="C4" s="100"/>
      <c r="D4" s="100"/>
      <c r="E4" s="100"/>
      <c r="F4" s="100"/>
      <c r="G4" s="100"/>
      <c r="H4" s="101"/>
    </row>
    <row r="5" spans="1:15" ht="14.25" customHeight="1" x14ac:dyDescent="0.25">
      <c r="A5" s="99"/>
      <c r="B5" s="100"/>
      <c r="C5" s="100"/>
      <c r="D5" s="100"/>
      <c r="E5" s="100"/>
      <c r="F5" s="100"/>
      <c r="G5" s="100"/>
      <c r="H5" s="101"/>
    </row>
    <row r="6" spans="1:15" ht="14.25" customHeight="1" x14ac:dyDescent="0.25">
      <c r="A6" s="99"/>
      <c r="B6" s="100"/>
      <c r="C6" s="100"/>
      <c r="D6" s="100"/>
      <c r="E6" s="100"/>
      <c r="F6" s="100"/>
      <c r="G6" s="100"/>
      <c r="H6" s="101"/>
    </row>
    <row r="7" spans="1:15" ht="14.25" customHeight="1" x14ac:dyDescent="0.25">
      <c r="A7" s="99"/>
      <c r="B7" s="100"/>
      <c r="C7" s="100"/>
      <c r="D7" s="100"/>
      <c r="E7" s="100"/>
      <c r="F7" s="100"/>
      <c r="G7" s="100"/>
      <c r="H7" s="101"/>
    </row>
    <row r="8" spans="1:15" ht="14.25" customHeight="1" x14ac:dyDescent="0.25">
      <c r="A8" s="99"/>
      <c r="B8" s="100"/>
      <c r="C8" s="100"/>
      <c r="D8" s="100"/>
      <c r="E8" s="100"/>
      <c r="F8" s="100"/>
      <c r="G8" s="100"/>
      <c r="H8" s="101"/>
    </row>
    <row r="9" spans="1:15" ht="14.25" customHeight="1" x14ac:dyDescent="0.25">
      <c r="A9" s="102"/>
      <c r="B9" s="103"/>
      <c r="C9" s="103"/>
      <c r="D9" s="103"/>
      <c r="E9" s="103"/>
      <c r="F9" s="103"/>
      <c r="G9" s="103"/>
      <c r="H9" s="104"/>
    </row>
    <row r="10" spans="1:15" ht="14.25" customHeight="1" x14ac:dyDescent="0.25">
      <c r="A10" s="96" t="s">
        <v>36</v>
      </c>
      <c r="B10" s="97"/>
      <c r="C10" s="97"/>
      <c r="D10" s="97"/>
      <c r="E10" s="97"/>
      <c r="F10" s="97"/>
      <c r="G10" s="97"/>
      <c r="H10" s="98"/>
    </row>
    <row r="11" spans="1:15" ht="14.25" customHeight="1" x14ac:dyDescent="0.25">
      <c r="A11" s="99"/>
      <c r="B11" s="100"/>
      <c r="C11" s="100"/>
      <c r="D11" s="100"/>
      <c r="E11" s="100"/>
      <c r="F11" s="100"/>
      <c r="G11" s="100"/>
      <c r="H11" s="101"/>
    </row>
    <row r="12" spans="1:15" ht="14.25" customHeight="1" x14ac:dyDescent="0.25">
      <c r="A12" s="99"/>
      <c r="B12" s="100"/>
      <c r="C12" s="100"/>
      <c r="D12" s="100"/>
      <c r="E12" s="100"/>
      <c r="F12" s="100"/>
      <c r="G12" s="100"/>
      <c r="H12" s="101"/>
    </row>
    <row r="13" spans="1:15" ht="14.25" customHeight="1" x14ac:dyDescent="0.25">
      <c r="A13" s="99"/>
      <c r="B13" s="100"/>
      <c r="C13" s="100"/>
      <c r="D13" s="100"/>
      <c r="E13" s="100"/>
      <c r="F13" s="100"/>
      <c r="G13" s="100"/>
      <c r="H13" s="101"/>
    </row>
    <row r="14" spans="1:15" ht="14.25" customHeight="1" x14ac:dyDescent="0.25">
      <c r="A14" s="99"/>
      <c r="B14" s="100"/>
      <c r="C14" s="100"/>
      <c r="D14" s="100"/>
      <c r="E14" s="100"/>
      <c r="F14" s="100"/>
      <c r="G14" s="100"/>
      <c r="H14" s="101"/>
      <c r="K14" s="105"/>
      <c r="L14" s="100"/>
      <c r="M14" s="100"/>
      <c r="N14" s="100"/>
      <c r="O14" s="100"/>
    </row>
    <row r="15" spans="1:15" ht="14.25" customHeight="1" x14ac:dyDescent="0.25">
      <c r="A15" s="99"/>
      <c r="B15" s="100"/>
      <c r="C15" s="100"/>
      <c r="D15" s="100"/>
      <c r="E15" s="100"/>
      <c r="F15" s="100"/>
      <c r="G15" s="100"/>
      <c r="H15" s="101"/>
      <c r="J15" s="52" t="s">
        <v>37</v>
      </c>
      <c r="K15" s="100"/>
      <c r="L15" s="100"/>
      <c r="M15" s="100"/>
      <c r="N15" s="100"/>
      <c r="O15" s="100"/>
    </row>
    <row r="16" spans="1:15" ht="14.25" customHeight="1" x14ac:dyDescent="0.25">
      <c r="A16" s="99"/>
      <c r="B16" s="100"/>
      <c r="C16" s="100"/>
      <c r="D16" s="100"/>
      <c r="E16" s="100"/>
      <c r="F16" s="100"/>
      <c r="G16" s="100"/>
      <c r="H16" s="101"/>
    </row>
    <row r="17" spans="1:10" ht="14.25" customHeight="1" x14ac:dyDescent="0.25">
      <c r="A17" s="99"/>
      <c r="B17" s="100"/>
      <c r="C17" s="100"/>
      <c r="D17" s="100"/>
      <c r="E17" s="100"/>
      <c r="F17" s="100"/>
      <c r="G17" s="100"/>
      <c r="H17" s="101"/>
    </row>
    <row r="18" spans="1:10" ht="14.25" customHeight="1" x14ac:dyDescent="0.25">
      <c r="A18" s="102"/>
      <c r="B18" s="103"/>
      <c r="C18" s="103"/>
      <c r="D18" s="103"/>
      <c r="E18" s="103"/>
      <c r="F18" s="103"/>
      <c r="G18" s="103"/>
      <c r="H18" s="104"/>
    </row>
    <row r="19" spans="1:10" ht="14.25" customHeight="1" x14ac:dyDescent="0.25">
      <c r="A19" s="106" t="s">
        <v>38</v>
      </c>
      <c r="B19" s="97"/>
      <c r="C19" s="97"/>
      <c r="D19" s="97"/>
      <c r="E19" s="97"/>
      <c r="F19" s="97"/>
      <c r="G19" s="97"/>
      <c r="H19" s="97"/>
    </row>
    <row r="20" spans="1:10" ht="14.25" customHeight="1" x14ac:dyDescent="0.25"/>
    <row r="21" spans="1:10" ht="14.25" customHeight="1" x14ac:dyDescent="0.25">
      <c r="A21" s="54" t="s">
        <v>39</v>
      </c>
    </row>
    <row r="22" spans="1:10" ht="14.25" customHeight="1" x14ac:dyDescent="0.25"/>
    <row r="23" spans="1:10" ht="14.25" customHeight="1" x14ac:dyDescent="0.25"/>
    <row r="24" spans="1:10" ht="14.25" customHeight="1" x14ac:dyDescent="0.25"/>
    <row r="25" spans="1:10" ht="14.25" customHeight="1" x14ac:dyDescent="0.25"/>
    <row r="26" spans="1:10" ht="14.25" customHeight="1" x14ac:dyDescent="0.25"/>
    <row r="27" spans="1:10" ht="14.25" customHeight="1" x14ac:dyDescent="0.25"/>
    <row r="28" spans="1:10" ht="14.25" customHeight="1" x14ac:dyDescent="0.25"/>
    <row r="29" spans="1:10" ht="14.25" customHeight="1" x14ac:dyDescent="0.25"/>
    <row r="30" spans="1:10" ht="14.25" customHeight="1" x14ac:dyDescent="0.25">
      <c r="J30" s="52" t="s">
        <v>40</v>
      </c>
    </row>
    <row r="31" spans="1:10" ht="14.25" customHeight="1" x14ac:dyDescent="0.25"/>
    <row r="32" spans="1:10"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4">
    <mergeCell ref="A1:H9"/>
    <mergeCell ref="A10:H18"/>
    <mergeCell ref="K14:O15"/>
    <mergeCell ref="A19:H19"/>
  </mergeCells>
  <hyperlinks>
    <hyperlink ref="A19" r:id="rId1" xr:uid="{00000000-0004-0000-03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CUÁNTOS SOMOS </vt:lpstr>
      <vt:lpstr>DÓNDE ESTAMOS</vt:lpstr>
      <vt:lpstr>CÓMO VIVIMOS</vt:lpstr>
      <vt:lpstr>Entrega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EAT</dc:creator>
  <cp:lastModifiedBy>Laura Barona Saavedra</cp:lastModifiedBy>
  <dcterms:created xsi:type="dcterms:W3CDTF">2022-02-13T22:40:53Z</dcterms:created>
  <dcterms:modified xsi:type="dcterms:W3CDTF">2025-09-28T03:43:25Z</dcterms:modified>
</cp:coreProperties>
</file>