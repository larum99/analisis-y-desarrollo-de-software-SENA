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arum\Downloads\"/>
    </mc:Choice>
  </mc:AlternateContent>
  <xr:revisionPtr revIDLastSave="0" documentId="13_ncr:1_{A66F444A-A7D9-49AA-8DFF-1820C3CF1BDD}" xr6:coauthVersionLast="47" xr6:coauthVersionMax="47" xr10:uidLastSave="{00000000-0000-0000-0000-000000000000}"/>
  <bookViews>
    <workbookView xWindow="-120" yWindow="-120" windowWidth="20730" windowHeight="11310" activeTab="2" xr2:uid="{00000000-000D-0000-FFFF-FFFF00000000}"/>
  </bookViews>
  <sheets>
    <sheet name="Hoja2" sheetId="1" r:id="rId1"/>
    <sheet name="Figuras " sheetId="2" r:id="rId2"/>
    <sheet name="pregunta 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n8LkPRTrts5dCvVXtailCtYMgGQogOVnG3/qLHgKmnc="/>
    </ext>
  </extLst>
</workbook>
</file>

<file path=xl/calcChain.xml><?xml version="1.0" encoding="utf-8"?>
<calcChain xmlns="http://schemas.openxmlformats.org/spreadsheetml/2006/main">
  <c r="L12" i="2" l="1"/>
  <c r="M12" i="2"/>
  <c r="K12" i="2"/>
  <c r="L11" i="2"/>
  <c r="M11" i="2"/>
  <c r="K11" i="2"/>
  <c r="L10" i="2"/>
  <c r="M10" i="2"/>
  <c r="K10" i="2"/>
  <c r="K9" i="2"/>
  <c r="L9" i="2"/>
  <c r="M9" i="2"/>
  <c r="L8" i="2"/>
  <c r="M8" i="2"/>
  <c r="K8" i="2"/>
  <c r="M7" i="2"/>
  <c r="K7" i="2"/>
  <c r="M6" i="2"/>
  <c r="K6" i="2"/>
  <c r="M5" i="2"/>
  <c r="K5" i="2"/>
  <c r="M4" i="2"/>
  <c r="K4" i="2"/>
  <c r="M3" i="2"/>
  <c r="K3" i="2"/>
  <c r="M2" i="2"/>
  <c r="K2" i="2"/>
</calcChain>
</file>

<file path=xl/sharedStrings.xml><?xml version="1.0" encoding="utf-8"?>
<sst xmlns="http://schemas.openxmlformats.org/spreadsheetml/2006/main" count="65" uniqueCount="45">
  <si>
    <t xml:space="preserve">Tipo </t>
  </si>
  <si>
    <t xml:space="preserve">Figura </t>
  </si>
  <si>
    <t>Imagen</t>
  </si>
  <si>
    <t xml:space="preserve">Formula </t>
  </si>
  <si>
    <t xml:space="preserve">Datos </t>
  </si>
  <si>
    <t xml:space="preserve">Área </t>
  </si>
  <si>
    <t xml:space="preserve">Volumen </t>
  </si>
  <si>
    <t>Perímetro</t>
  </si>
  <si>
    <t>Cuadrado</t>
  </si>
  <si>
    <t>Área = b * h
Perímetro = b+b+h+h</t>
  </si>
  <si>
    <t>Base =</t>
  </si>
  <si>
    <t>Altura =</t>
  </si>
  <si>
    <t>Figura Plana</t>
  </si>
  <si>
    <t>Rectángulo</t>
  </si>
  <si>
    <t>Triángulo</t>
  </si>
  <si>
    <t>Área = (b * h)/2</t>
  </si>
  <si>
    <t>Rombo</t>
  </si>
  <si>
    <t>Área = D*d</t>
  </si>
  <si>
    <t>Diagonal mayor =</t>
  </si>
  <si>
    <t>Diagonal menor =</t>
  </si>
  <si>
    <t>Trapecio</t>
  </si>
  <si>
    <t>Área = h(B*b)/2
Perímetro = B+b+L+L</t>
  </si>
  <si>
    <t>Base menor =</t>
  </si>
  <si>
    <t>Base mayor =</t>
  </si>
  <si>
    <t xml:space="preserve">Circulo </t>
  </si>
  <si>
    <t>Área = Pi*r^2
Perímetro = 2*pi*r</t>
  </si>
  <si>
    <t>radio =</t>
  </si>
  <si>
    <t>pi=</t>
  </si>
  <si>
    <t xml:space="preserve">Solido </t>
  </si>
  <si>
    <t>Esfera</t>
  </si>
  <si>
    <t>V= 4*pi*r^2/3</t>
  </si>
  <si>
    <t xml:space="preserve">Cubo </t>
  </si>
  <si>
    <t xml:space="preserve">V = a^3 </t>
  </si>
  <si>
    <t>base =</t>
  </si>
  <si>
    <t xml:space="preserve">Paralelepípedo
</t>
  </si>
  <si>
    <t>V = a*b*c</t>
  </si>
  <si>
    <t xml:space="preserve">Base = </t>
  </si>
  <si>
    <t xml:space="preserve">Anchura = </t>
  </si>
  <si>
    <t>Cilindro</t>
  </si>
  <si>
    <t>V = pi*r^2 *h</t>
  </si>
  <si>
    <t xml:space="preserve">radio = </t>
  </si>
  <si>
    <t>Cono</t>
  </si>
  <si>
    <t>V = pi*r^2 *h/3</t>
  </si>
  <si>
    <t>Piense en la siguiente pregunta: ¿si tuviera un sólido irregular, qué método utilizaría para calcular el área?</t>
  </si>
  <si>
    <t>Si tuviera que calcular el área de un sólido irregular, primero evaluaría qué tan complejo es. Si es posible, lo dividiría en figuras más simples como prismas, cilindros o conos, calcularía el área de cada una y luego las sumaría. Si no pudiera descomponerlo bien, usaría un método más práctico, como proyectar su forma en papel milimetrado y estimar el área contando cuadrículas. En casos donde tenga acceso a herramientas más avanzadas, consideraría un escáner 3D o un software de modelado (tipo AutoCAD o SolidWorks), que generan una malla del sólido y permiten calcular el área automáticamente. En conclusión, el método dependerá de los recursos: manual si es algo sencillo y accesible, o digital si el sólido es muy complejo.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</si>
</sst>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2"/>
      <color theme="1"/>
      <name val="Calibri"/>
    </font>
    <font>
      <sz val="11"/>
      <name val="Calibri"/>
    </font>
    <font>
      <sz val="11"/>
      <color theme="1"/>
      <name val="Calibri"/>
    </font>
    <font>
      <b/>
      <sz val="11"/>
      <color theme="1"/>
      <name val="Calibri"/>
    </font>
    <font>
      <b/>
      <sz val="16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E598"/>
        <bgColor rgb="FFFFE598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9CC2E5"/>
        <bgColor rgb="FF9CC2E5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/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2" borderId="9" xfId="0" applyFont="1" applyFill="1" applyBorder="1"/>
    <xf numFmtId="0" fontId="2" fillId="2" borderId="3" xfId="0" applyFont="1" applyFill="1" applyBorder="1" applyAlignment="1">
      <alignment horizontal="center" vertical="center"/>
    </xf>
    <xf numFmtId="0" fontId="3" fillId="0" borderId="4" xfId="0" applyFont="1" applyBorder="1"/>
    <xf numFmtId="0" fontId="3" fillId="0" borderId="5" xfId="0" applyFont="1" applyBorder="1"/>
    <xf numFmtId="0" fontId="6" fillId="0" borderId="0" xfId="0" applyFont="1" applyAlignment="1">
      <alignment horizontal="left" vertical="center" wrapText="1"/>
    </xf>
    <xf numFmtId="0" fontId="0" fillId="0" borderId="0" xfId="0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76200</xdr:colOff>
      <xdr:row>4</xdr:row>
      <xdr:rowOff>47625</xdr:rowOff>
    </xdr:from>
    <xdr:ext cx="1171575" cy="685800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1085850</xdr:colOff>
      <xdr:row>0</xdr:row>
      <xdr:rowOff>0</xdr:rowOff>
    </xdr:from>
    <xdr:ext cx="3562350" cy="5400675"/>
    <xdr:pic>
      <xdr:nvPicPr>
        <xdr:cNvPr id="3" name="image3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190500</xdr:colOff>
      <xdr:row>4</xdr:row>
      <xdr:rowOff>133350</xdr:rowOff>
    </xdr:from>
    <xdr:ext cx="1047750" cy="1171575"/>
    <xdr:pic>
      <xdr:nvPicPr>
        <xdr:cNvPr id="4" name="image2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742950</xdr:colOff>
      <xdr:row>10</xdr:row>
      <xdr:rowOff>85725</xdr:rowOff>
    </xdr:from>
    <xdr:ext cx="3486150" cy="1962150"/>
    <xdr:pic>
      <xdr:nvPicPr>
        <xdr:cNvPr id="5" name="image1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2</xdr:row>
      <xdr:rowOff>152400</xdr:rowOff>
    </xdr:from>
    <xdr:ext cx="1200150" cy="666750"/>
    <xdr:pic>
      <xdr:nvPicPr>
        <xdr:cNvPr id="6" name="image2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0</xdr:row>
      <xdr:rowOff>0</xdr:rowOff>
    </xdr:from>
    <xdr:ext cx="1409700" cy="352425"/>
    <xdr:pic>
      <xdr:nvPicPr>
        <xdr:cNvPr id="7" name="image2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0</xdr:row>
      <xdr:rowOff>0</xdr:rowOff>
    </xdr:from>
    <xdr:ext cx="685800" cy="857250"/>
    <xdr:pic>
      <xdr:nvPicPr>
        <xdr:cNvPr id="8" name="image3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</xdr:row>
      <xdr:rowOff>0</xdr:rowOff>
    </xdr:from>
    <xdr:ext cx="1409700" cy="352425"/>
    <xdr:pic>
      <xdr:nvPicPr>
        <xdr:cNvPr id="9" name="image2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685800" cy="857250"/>
    <xdr:pic>
      <xdr:nvPicPr>
        <xdr:cNvPr id="10" name="image3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685800" cy="857250"/>
    <xdr:pic>
      <xdr:nvPicPr>
        <xdr:cNvPr id="11" name="image3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</xdr:row>
      <xdr:rowOff>0</xdr:rowOff>
    </xdr:from>
    <xdr:ext cx="1409700" cy="352425"/>
    <xdr:pic>
      <xdr:nvPicPr>
        <xdr:cNvPr id="12" name="image2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</xdr:row>
      <xdr:rowOff>0</xdr:rowOff>
    </xdr:from>
    <xdr:ext cx="914400" cy="1143000"/>
    <xdr:pic>
      <xdr:nvPicPr>
        <xdr:cNvPr id="13" name="image3.pn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123825</xdr:colOff>
      <xdr:row>1</xdr:row>
      <xdr:rowOff>800100</xdr:rowOff>
    </xdr:from>
    <xdr:ext cx="3143250" cy="400050"/>
    <xdr:pic>
      <xdr:nvPicPr>
        <xdr:cNvPr id="2" name="image5.png" title="Imagen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</xdr:colOff>
      <xdr:row>0</xdr:row>
      <xdr:rowOff>304800</xdr:rowOff>
    </xdr:from>
    <xdr:ext cx="1257300" cy="857250"/>
    <xdr:pic>
      <xdr:nvPicPr>
        <xdr:cNvPr id="3" name="image4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333375</xdr:colOff>
      <xdr:row>11</xdr:row>
      <xdr:rowOff>95250</xdr:rowOff>
    </xdr:from>
    <xdr:ext cx="657225" cy="752475"/>
    <xdr:pic>
      <xdr:nvPicPr>
        <xdr:cNvPr id="4" name="image2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219075</xdr:colOff>
      <xdr:row>7</xdr:row>
      <xdr:rowOff>114300</xdr:rowOff>
    </xdr:from>
    <xdr:ext cx="847725" cy="800100"/>
    <xdr:pic>
      <xdr:nvPicPr>
        <xdr:cNvPr id="5" name="image2.p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333375</xdr:colOff>
      <xdr:row>10</xdr:row>
      <xdr:rowOff>47625</xdr:rowOff>
    </xdr:from>
    <xdr:ext cx="695325" cy="828675"/>
    <xdr:pic>
      <xdr:nvPicPr>
        <xdr:cNvPr id="6" name="image2.pn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247650</xdr:colOff>
      <xdr:row>9</xdr:row>
      <xdr:rowOff>152400</xdr:rowOff>
    </xdr:from>
    <xdr:ext cx="1019175" cy="571500"/>
    <xdr:pic>
      <xdr:nvPicPr>
        <xdr:cNvPr id="7" name="image2.pn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361950</xdr:colOff>
      <xdr:row>8</xdr:row>
      <xdr:rowOff>19050</xdr:rowOff>
    </xdr:from>
    <xdr:ext cx="666750" cy="742950"/>
    <xdr:pic>
      <xdr:nvPicPr>
        <xdr:cNvPr id="8" name="image2.png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66675</xdr:colOff>
      <xdr:row>6</xdr:row>
      <xdr:rowOff>57150</xdr:rowOff>
    </xdr:from>
    <xdr:ext cx="1171575" cy="742950"/>
    <xdr:pic>
      <xdr:nvPicPr>
        <xdr:cNvPr id="9" name="image3.png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</xdr:row>
      <xdr:rowOff>0</xdr:rowOff>
    </xdr:from>
    <xdr:ext cx="666750" cy="838200"/>
    <xdr:pic>
      <xdr:nvPicPr>
        <xdr:cNvPr id="10" name="image3.png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</xdr:row>
      <xdr:rowOff>0</xdr:rowOff>
    </xdr:from>
    <xdr:ext cx="666750" cy="838200"/>
    <xdr:pic>
      <xdr:nvPicPr>
        <xdr:cNvPr id="11" name="image3.png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</xdr:row>
      <xdr:rowOff>0</xdr:rowOff>
    </xdr:from>
    <xdr:ext cx="666750" cy="838200"/>
    <xdr:pic>
      <xdr:nvPicPr>
        <xdr:cNvPr id="12" name="image3.png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514350</xdr:colOff>
      <xdr:row>9</xdr:row>
      <xdr:rowOff>0</xdr:rowOff>
    </xdr:from>
    <xdr:ext cx="2543175" cy="24765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4079175" y="2546513"/>
          <a:ext cx="2533650" cy="2466975"/>
        </a:xfrm>
        <a:prstGeom prst="rightArrowCallout">
          <a:avLst>
            <a:gd name="adj1" fmla="val 25000"/>
            <a:gd name="adj2" fmla="val 25000"/>
            <a:gd name="adj3" fmla="val 25000"/>
            <a:gd name="adj4" fmla="val 64977"/>
          </a:avLst>
        </a:prstGeom>
        <a:solidFill>
          <a:schemeClr val="accent1"/>
        </a:solidFill>
        <a:ln w="12700" cap="flat" cmpd="sng">
          <a:solidFill>
            <a:srgbClr val="42719B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1000"/>
  <sheetViews>
    <sheetView workbookViewId="0"/>
  </sheetViews>
  <sheetFormatPr baseColWidth="10" defaultColWidth="14.42578125" defaultRowHeight="15" customHeight="1" x14ac:dyDescent="0.25"/>
  <cols>
    <col min="1" max="1" width="10.7109375" customWidth="1"/>
    <col min="2" max="2" width="21.140625" customWidth="1"/>
    <col min="3" max="3" width="18.140625" customWidth="1"/>
    <col min="4" max="4" width="23.85546875" customWidth="1"/>
    <col min="5" max="5" width="19" customWidth="1"/>
    <col min="6" max="6" width="18.85546875" customWidth="1"/>
    <col min="7" max="26" width="10.7109375" customWidth="1"/>
  </cols>
  <sheetData>
    <row r="1" spans="2:6" ht="67.5" customHeight="1" x14ac:dyDescent="0.25">
      <c r="B1" s="1"/>
      <c r="F1" s="1"/>
    </row>
    <row r="2" spans="2:6" ht="67.5" customHeight="1" x14ac:dyDescent="0.25">
      <c r="B2" s="1"/>
      <c r="F2" s="1"/>
    </row>
    <row r="3" spans="2:6" ht="67.5" customHeight="1" x14ac:dyDescent="0.25">
      <c r="F3" s="1"/>
    </row>
    <row r="4" spans="2:6" ht="90" customHeight="1" x14ac:dyDescent="0.25">
      <c r="B4" s="1"/>
      <c r="F4" s="1"/>
    </row>
    <row r="5" spans="2:6" ht="60" customHeight="1" x14ac:dyDescent="0.25"/>
    <row r="6" spans="2:6" ht="67.5" customHeight="1" x14ac:dyDescent="0.25"/>
    <row r="7" spans="2:6" ht="94.5" customHeight="1" x14ac:dyDescent="0.25"/>
    <row r="8" spans="2:6" ht="14.25" customHeight="1" x14ac:dyDescent="0.25"/>
    <row r="9" spans="2:6" ht="14.25" customHeight="1" x14ac:dyDescent="0.25"/>
    <row r="10" spans="2:6" ht="14.25" customHeight="1" x14ac:dyDescent="0.25"/>
    <row r="11" spans="2:6" ht="14.25" customHeight="1" x14ac:dyDescent="0.25"/>
    <row r="12" spans="2:6" ht="14.25" customHeight="1" x14ac:dyDescent="0.25"/>
    <row r="13" spans="2:6" ht="14.25" customHeight="1" x14ac:dyDescent="0.25"/>
    <row r="14" spans="2:6" ht="14.25" customHeight="1" x14ac:dyDescent="0.25"/>
    <row r="15" spans="2:6" ht="14.25" customHeight="1" x14ac:dyDescent="0.25"/>
    <row r="16" spans="2: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00"/>
  <sheetViews>
    <sheetView workbookViewId="0">
      <pane ySplit="1" topLeftCell="A9" activePane="bottomLeft" state="frozen"/>
      <selection pane="bottomLeft" activeCell="H11" sqref="H11:H12"/>
    </sheetView>
  </sheetViews>
  <sheetFormatPr baseColWidth="10" defaultColWidth="14.42578125" defaultRowHeight="15" customHeight="1" x14ac:dyDescent="0.25"/>
  <cols>
    <col min="1" max="1" width="14.5703125" customWidth="1"/>
    <col min="2" max="2" width="14.7109375" customWidth="1"/>
    <col min="3" max="3" width="21.28515625" customWidth="1"/>
    <col min="4" max="4" width="21.5703125" customWidth="1"/>
    <col min="5" max="5" width="9.5703125" customWidth="1"/>
    <col min="6" max="6" width="10.7109375" customWidth="1"/>
    <col min="7" max="7" width="12.140625" customWidth="1"/>
    <col min="8" max="8" width="10.7109375" customWidth="1"/>
    <col min="9" max="9" width="14.42578125" customWidth="1"/>
    <col min="10" max="10" width="10.7109375" customWidth="1"/>
    <col min="11" max="11" width="11.85546875" customWidth="1"/>
    <col min="12" max="13" width="11.42578125" customWidth="1"/>
    <col min="14" max="33" width="10.7109375" customWidth="1"/>
  </cols>
  <sheetData>
    <row r="1" spans="1:17" ht="25.5" customHeight="1" x14ac:dyDescent="0.25">
      <c r="A1" s="2" t="s">
        <v>0</v>
      </c>
      <c r="B1" s="2" t="s">
        <v>1</v>
      </c>
      <c r="C1" s="2" t="s">
        <v>2</v>
      </c>
      <c r="D1" s="3" t="s">
        <v>3</v>
      </c>
      <c r="E1" s="23" t="s">
        <v>4</v>
      </c>
      <c r="F1" s="24"/>
      <c r="G1" s="24"/>
      <c r="H1" s="24"/>
      <c r="I1" s="24"/>
      <c r="J1" s="25"/>
      <c r="K1" s="2" t="s">
        <v>5</v>
      </c>
      <c r="L1" s="3" t="s">
        <v>6</v>
      </c>
      <c r="M1" s="2" t="s">
        <v>7</v>
      </c>
    </row>
    <row r="2" spans="1:17" ht="66" customHeight="1" x14ac:dyDescent="0.25">
      <c r="A2" s="4"/>
      <c r="B2" s="5" t="s">
        <v>8</v>
      </c>
      <c r="C2" s="5"/>
      <c r="D2" s="6" t="s">
        <v>9</v>
      </c>
      <c r="E2" s="7" t="s">
        <v>10</v>
      </c>
      <c r="F2" s="7">
        <v>10</v>
      </c>
      <c r="G2" s="8" t="s">
        <v>11</v>
      </c>
      <c r="H2" s="8">
        <v>10</v>
      </c>
      <c r="K2" s="9">
        <f>F2*H2</f>
        <v>100</v>
      </c>
      <c r="L2" s="9"/>
      <c r="M2" s="9">
        <f>F2+F2+H2+H2</f>
        <v>40</v>
      </c>
    </row>
    <row r="3" spans="1:17" ht="66" customHeight="1" x14ac:dyDescent="0.25">
      <c r="A3" s="10" t="s">
        <v>12</v>
      </c>
      <c r="B3" s="11" t="s">
        <v>13</v>
      </c>
      <c r="C3" s="12"/>
      <c r="D3" s="13" t="s">
        <v>9</v>
      </c>
      <c r="E3" s="14" t="s">
        <v>10</v>
      </c>
      <c r="F3" s="14">
        <v>5</v>
      </c>
      <c r="G3" s="15" t="s">
        <v>11</v>
      </c>
      <c r="H3" s="15">
        <v>6</v>
      </c>
      <c r="K3" s="16">
        <f>F3*H3</f>
        <v>30</v>
      </c>
      <c r="L3" s="17"/>
      <c r="M3" s="9">
        <f>F3+F3+H3+H3</f>
        <v>22</v>
      </c>
    </row>
    <row r="4" spans="1:17" ht="66" customHeight="1" x14ac:dyDescent="0.25">
      <c r="A4" s="10" t="s">
        <v>12</v>
      </c>
      <c r="B4" s="11" t="s">
        <v>14</v>
      </c>
      <c r="C4" s="12"/>
      <c r="D4" s="13" t="s">
        <v>15</v>
      </c>
      <c r="E4" s="14" t="s">
        <v>10</v>
      </c>
      <c r="F4" s="14">
        <v>6</v>
      </c>
      <c r="G4" s="15" t="s">
        <v>11</v>
      </c>
      <c r="H4" s="15">
        <v>9</v>
      </c>
      <c r="K4" s="16">
        <f>(F4*H4)/2</f>
        <v>27</v>
      </c>
      <c r="L4" s="16"/>
      <c r="M4" s="16">
        <f>F4+H4+2</f>
        <v>17</v>
      </c>
    </row>
    <row r="5" spans="1:17" ht="66" customHeight="1" x14ac:dyDescent="0.25">
      <c r="A5" s="10" t="s">
        <v>12</v>
      </c>
      <c r="B5" s="11" t="s">
        <v>16</v>
      </c>
      <c r="C5" s="12"/>
      <c r="D5" s="13" t="s">
        <v>17</v>
      </c>
      <c r="E5" s="14" t="s">
        <v>18</v>
      </c>
      <c r="F5" s="14">
        <v>25</v>
      </c>
      <c r="G5" s="15" t="s">
        <v>19</v>
      </c>
      <c r="H5" s="15">
        <v>20</v>
      </c>
      <c r="K5" s="16">
        <f>F5*H5</f>
        <v>500</v>
      </c>
      <c r="L5" s="17"/>
      <c r="M5" s="17">
        <f>4*SQRT(((F5/2)^2)+((H5/2)^2))</f>
        <v>64.031242374328485</v>
      </c>
    </row>
    <row r="6" spans="1:17" ht="66" customHeight="1" x14ac:dyDescent="0.25">
      <c r="A6" s="10" t="s">
        <v>12</v>
      </c>
      <c r="B6" s="11" t="s">
        <v>20</v>
      </c>
      <c r="C6" s="12"/>
      <c r="D6" s="13" t="s">
        <v>21</v>
      </c>
      <c r="E6" s="14" t="s">
        <v>22</v>
      </c>
      <c r="F6" s="14">
        <v>10</v>
      </c>
      <c r="G6" s="15" t="s">
        <v>11</v>
      </c>
      <c r="H6" s="15">
        <v>30</v>
      </c>
      <c r="I6" s="18" t="s">
        <v>23</v>
      </c>
      <c r="J6" s="19">
        <v>20</v>
      </c>
      <c r="K6" s="16">
        <f>((J6+F6)*H6)/2</f>
        <v>450</v>
      </c>
      <c r="L6" s="16"/>
      <c r="M6" s="16">
        <f>J6+F6+2*SQRT(((J6-F6)/2)^2+H6^2)</f>
        <v>90.827625302982199</v>
      </c>
    </row>
    <row r="7" spans="1:17" ht="66" customHeight="1" x14ac:dyDescent="0.25">
      <c r="A7" s="10" t="s">
        <v>12</v>
      </c>
      <c r="B7" s="11" t="s">
        <v>24</v>
      </c>
      <c r="C7" s="11"/>
      <c r="D7" s="13" t="s">
        <v>25</v>
      </c>
      <c r="E7" s="14" t="s">
        <v>26</v>
      </c>
      <c r="F7" s="14">
        <v>17</v>
      </c>
      <c r="G7" s="15"/>
      <c r="H7" s="15"/>
      <c r="K7" s="16">
        <f>PI()*(F7^2)</f>
        <v>907.9202768874502</v>
      </c>
      <c r="L7" s="16"/>
      <c r="M7" s="16">
        <f>2*PI()*F7</f>
        <v>106.81415022205297</v>
      </c>
      <c r="P7" s="20" t="s">
        <v>27</v>
      </c>
      <c r="Q7" s="21">
        <v>3.14</v>
      </c>
    </row>
    <row r="8" spans="1:17" ht="79.5" customHeight="1" x14ac:dyDescent="0.25">
      <c r="A8" s="11" t="s">
        <v>28</v>
      </c>
      <c r="B8" s="11" t="s">
        <v>29</v>
      </c>
      <c r="C8" s="12"/>
      <c r="D8" s="13" t="s">
        <v>30</v>
      </c>
      <c r="E8" s="14" t="s">
        <v>26</v>
      </c>
      <c r="F8" s="14">
        <v>17</v>
      </c>
      <c r="K8" s="16">
        <f>4*PI()*(F8^2)</f>
        <v>3631.6811075498008</v>
      </c>
      <c r="L8" s="16">
        <f>(4/3)*PI()*(F8^3)</f>
        <v>20579.526276115535</v>
      </c>
      <c r="M8" s="16">
        <f>2*PI()*F8</f>
        <v>106.81415022205297</v>
      </c>
    </row>
    <row r="9" spans="1:17" ht="66" customHeight="1" x14ac:dyDescent="0.25">
      <c r="A9" s="11" t="s">
        <v>28</v>
      </c>
      <c r="B9" s="11" t="s">
        <v>31</v>
      </c>
      <c r="C9" s="12"/>
      <c r="D9" s="13" t="s">
        <v>32</v>
      </c>
      <c r="E9" s="14" t="s">
        <v>33</v>
      </c>
      <c r="F9" s="14">
        <v>25</v>
      </c>
      <c r="G9" s="15" t="s">
        <v>11</v>
      </c>
      <c r="H9" s="15"/>
      <c r="K9" s="16">
        <f>6*(F9^2)</f>
        <v>3750</v>
      </c>
      <c r="L9" s="16">
        <f>F9^3</f>
        <v>15625</v>
      </c>
      <c r="M9" s="16">
        <f>12*F9</f>
        <v>300</v>
      </c>
    </row>
    <row r="10" spans="1:17" ht="66" customHeight="1" x14ac:dyDescent="0.25">
      <c r="A10" s="11" t="s">
        <v>28</v>
      </c>
      <c r="B10" s="13" t="s">
        <v>34</v>
      </c>
      <c r="C10" s="12"/>
      <c r="D10" s="13" t="s">
        <v>35</v>
      </c>
      <c r="E10" s="14" t="s">
        <v>36</v>
      </c>
      <c r="F10" s="14">
        <v>15</v>
      </c>
      <c r="G10" s="15" t="s">
        <v>11</v>
      </c>
      <c r="H10" s="15">
        <v>40</v>
      </c>
      <c r="I10" s="18" t="s">
        <v>37</v>
      </c>
      <c r="J10" s="19">
        <v>30</v>
      </c>
      <c r="K10" s="16">
        <f>2*((F10*J10)+(F10*H10)+(J10*H10))</f>
        <v>4500</v>
      </c>
      <c r="L10" s="16">
        <f>F10*H10*J10</f>
        <v>18000</v>
      </c>
      <c r="M10" s="16">
        <f>4*(F10+H10+J10)</f>
        <v>340</v>
      </c>
    </row>
    <row r="11" spans="1:17" ht="74.25" customHeight="1" x14ac:dyDescent="0.25">
      <c r="A11" s="11" t="s">
        <v>28</v>
      </c>
      <c r="B11" s="11" t="s">
        <v>38</v>
      </c>
      <c r="C11" s="12"/>
      <c r="D11" s="13" t="s">
        <v>39</v>
      </c>
      <c r="E11" s="14" t="s">
        <v>40</v>
      </c>
      <c r="F11" s="14">
        <v>4</v>
      </c>
      <c r="G11" s="15" t="s">
        <v>11</v>
      </c>
      <c r="H11" s="15">
        <v>10</v>
      </c>
      <c r="K11" s="16">
        <f>2*PI()*F11*H11+2*PI()*(F11^2)</f>
        <v>351.85837720205683</v>
      </c>
      <c r="L11" s="16">
        <f>PI()*(F11^2)*H11</f>
        <v>502.6548245743669</v>
      </c>
      <c r="M11" s="16">
        <f>2*PI()*F11</f>
        <v>25.132741228718345</v>
      </c>
    </row>
    <row r="12" spans="1:17" ht="66" customHeight="1" x14ac:dyDescent="0.25">
      <c r="A12" s="11" t="s">
        <v>28</v>
      </c>
      <c r="B12" s="11" t="s">
        <v>41</v>
      </c>
      <c r="C12" s="12"/>
      <c r="D12" s="13" t="s">
        <v>42</v>
      </c>
      <c r="E12" s="14" t="s">
        <v>40</v>
      </c>
      <c r="F12" s="14">
        <v>4</v>
      </c>
      <c r="G12" s="15" t="s">
        <v>11</v>
      </c>
      <c r="H12" s="15">
        <v>10</v>
      </c>
      <c r="I12" s="18"/>
      <c r="J12" s="19"/>
      <c r="K12" s="16">
        <f>PI()*F12*SQRT((F12^2)+(H12^2))+PI()*(F12^2)</f>
        <v>185.60943602914909</v>
      </c>
      <c r="L12" s="16">
        <f>(PI()*(F12^2)*H12)/3</f>
        <v>167.55160819145564</v>
      </c>
      <c r="M12" s="16">
        <f>2*PI()*F12</f>
        <v>25.132741228718345</v>
      </c>
    </row>
    <row r="13" spans="1:17" ht="66" customHeight="1" x14ac:dyDescent="0.25"/>
    <row r="14" spans="1:17" ht="14.25" customHeight="1" x14ac:dyDescent="0.25"/>
    <row r="15" spans="1:17" ht="14.25" customHeight="1" x14ac:dyDescent="0.25"/>
    <row r="16" spans="1:17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spans="11:13" ht="14.25" customHeight="1" x14ac:dyDescent="0.25"/>
    <row r="210" spans="11:13" ht="14.25" customHeight="1" x14ac:dyDescent="0.25"/>
    <row r="211" spans="11:13" ht="14.25" customHeight="1" x14ac:dyDescent="0.25"/>
    <row r="212" spans="11:13" ht="14.25" customHeight="1" x14ac:dyDescent="0.25"/>
    <row r="213" spans="11:13" ht="14.25" customHeight="1" x14ac:dyDescent="0.25"/>
    <row r="214" spans="11:13" ht="14.25" customHeight="1" x14ac:dyDescent="0.25"/>
    <row r="215" spans="11:13" ht="14.25" customHeight="1" x14ac:dyDescent="0.25"/>
    <row r="216" spans="11:13" ht="14.25" customHeight="1" x14ac:dyDescent="0.25"/>
    <row r="217" spans="11:13" ht="14.25" customHeight="1" x14ac:dyDescent="0.25"/>
    <row r="218" spans="11:13" ht="14.25" customHeight="1" x14ac:dyDescent="0.25"/>
    <row r="219" spans="11:13" ht="14.25" customHeight="1" x14ac:dyDescent="0.25"/>
    <row r="220" spans="11:13" ht="14.25" customHeight="1" x14ac:dyDescent="0.25"/>
    <row r="221" spans="11:13" ht="14.25" customHeight="1" x14ac:dyDescent="0.25">
      <c r="K221" s="22"/>
      <c r="L221" s="22"/>
      <c r="M221" s="22"/>
    </row>
    <row r="222" spans="11:13" ht="14.25" customHeight="1" x14ac:dyDescent="0.25">
      <c r="K222" s="22"/>
      <c r="L222" s="22"/>
      <c r="M222" s="22"/>
    </row>
    <row r="223" spans="11:13" ht="14.25" customHeight="1" x14ac:dyDescent="0.25">
      <c r="K223" s="22"/>
      <c r="L223" s="22"/>
      <c r="M223" s="22"/>
    </row>
    <row r="224" spans="11:13" ht="14.25" customHeight="1" x14ac:dyDescent="0.25">
      <c r="K224" s="22"/>
      <c r="L224" s="22"/>
      <c r="M224" s="22"/>
    </row>
    <row r="225" spans="11:13" ht="14.25" customHeight="1" x14ac:dyDescent="0.25">
      <c r="K225" s="22"/>
      <c r="L225" s="22"/>
      <c r="M225" s="22"/>
    </row>
    <row r="226" spans="11:13" ht="14.25" customHeight="1" x14ac:dyDescent="0.25">
      <c r="K226" s="22"/>
      <c r="L226" s="22"/>
      <c r="M226" s="22"/>
    </row>
    <row r="227" spans="11:13" ht="14.25" customHeight="1" x14ac:dyDescent="0.25">
      <c r="K227" s="22"/>
      <c r="L227" s="22"/>
      <c r="M227" s="22"/>
    </row>
    <row r="228" spans="11:13" ht="14.25" customHeight="1" x14ac:dyDescent="0.25">
      <c r="K228" s="22"/>
      <c r="L228" s="22"/>
      <c r="M228" s="22"/>
    </row>
    <row r="229" spans="11:13" ht="14.25" customHeight="1" x14ac:dyDescent="0.25">
      <c r="K229" s="22"/>
      <c r="L229" s="22"/>
      <c r="M229" s="22"/>
    </row>
    <row r="230" spans="11:13" ht="14.25" customHeight="1" x14ac:dyDescent="0.25">
      <c r="K230" s="22"/>
      <c r="L230" s="22"/>
      <c r="M230" s="22"/>
    </row>
    <row r="231" spans="11:13" ht="14.25" customHeight="1" x14ac:dyDescent="0.25">
      <c r="K231" s="22"/>
      <c r="L231" s="22"/>
      <c r="M231" s="22"/>
    </row>
    <row r="232" spans="11:13" ht="14.25" customHeight="1" x14ac:dyDescent="0.25">
      <c r="K232" s="22"/>
      <c r="L232" s="22"/>
      <c r="M232" s="22"/>
    </row>
    <row r="233" spans="11:13" ht="14.25" customHeight="1" x14ac:dyDescent="0.25">
      <c r="K233" s="22"/>
      <c r="L233" s="22"/>
      <c r="M233" s="22"/>
    </row>
    <row r="234" spans="11:13" ht="14.25" customHeight="1" x14ac:dyDescent="0.25">
      <c r="K234" s="22"/>
      <c r="L234" s="22"/>
      <c r="M234" s="22"/>
    </row>
    <row r="235" spans="11:13" ht="14.25" customHeight="1" x14ac:dyDescent="0.25">
      <c r="K235" s="22"/>
      <c r="L235" s="22"/>
      <c r="M235" s="22"/>
    </row>
    <row r="236" spans="11:13" ht="14.25" customHeight="1" x14ac:dyDescent="0.25">
      <c r="K236" s="22"/>
      <c r="L236" s="22"/>
      <c r="M236" s="22"/>
    </row>
    <row r="237" spans="11:13" ht="14.25" customHeight="1" x14ac:dyDescent="0.25">
      <c r="K237" s="22"/>
      <c r="L237" s="22"/>
      <c r="M237" s="22"/>
    </row>
    <row r="238" spans="11:13" ht="14.25" customHeight="1" x14ac:dyDescent="0.25">
      <c r="K238" s="22"/>
      <c r="L238" s="22"/>
      <c r="M238" s="22"/>
    </row>
    <row r="239" spans="11:13" ht="14.25" customHeight="1" x14ac:dyDescent="0.25">
      <c r="K239" s="22"/>
      <c r="L239" s="22"/>
      <c r="M239" s="22"/>
    </row>
    <row r="240" spans="11:13" ht="14.25" customHeight="1" x14ac:dyDescent="0.25">
      <c r="K240" s="22"/>
      <c r="L240" s="22"/>
      <c r="M240" s="22"/>
    </row>
    <row r="241" spans="11:13" ht="14.25" customHeight="1" x14ac:dyDescent="0.25">
      <c r="K241" s="22"/>
      <c r="L241" s="22"/>
      <c r="M241" s="22"/>
    </row>
    <row r="242" spans="11:13" ht="14.25" customHeight="1" x14ac:dyDescent="0.25">
      <c r="K242" s="22"/>
      <c r="L242" s="22"/>
      <c r="M242" s="22"/>
    </row>
    <row r="243" spans="11:13" ht="14.25" customHeight="1" x14ac:dyDescent="0.25">
      <c r="K243" s="22"/>
      <c r="L243" s="22"/>
      <c r="M243" s="22"/>
    </row>
    <row r="244" spans="11:13" ht="14.25" customHeight="1" x14ac:dyDescent="0.25">
      <c r="K244" s="22"/>
      <c r="L244" s="22"/>
      <c r="M244" s="22"/>
    </row>
    <row r="245" spans="11:13" ht="14.25" customHeight="1" x14ac:dyDescent="0.25">
      <c r="K245" s="22"/>
      <c r="L245" s="22"/>
      <c r="M245" s="22"/>
    </row>
    <row r="246" spans="11:13" ht="14.25" customHeight="1" x14ac:dyDescent="0.25">
      <c r="K246" s="22"/>
      <c r="L246" s="22"/>
      <c r="M246" s="22"/>
    </row>
    <row r="247" spans="11:13" ht="14.25" customHeight="1" x14ac:dyDescent="0.25">
      <c r="K247" s="22"/>
      <c r="L247" s="22"/>
      <c r="M247" s="22"/>
    </row>
    <row r="248" spans="11:13" ht="14.25" customHeight="1" x14ac:dyDescent="0.25">
      <c r="K248" s="22"/>
      <c r="L248" s="22"/>
      <c r="M248" s="22"/>
    </row>
    <row r="249" spans="11:13" ht="14.25" customHeight="1" x14ac:dyDescent="0.25">
      <c r="K249" s="22"/>
      <c r="L249" s="22"/>
      <c r="M249" s="22"/>
    </row>
    <row r="250" spans="11:13" ht="14.25" customHeight="1" x14ac:dyDescent="0.25">
      <c r="K250" s="22"/>
      <c r="L250" s="22"/>
      <c r="M250" s="22"/>
    </row>
    <row r="251" spans="11:13" ht="14.25" customHeight="1" x14ac:dyDescent="0.25">
      <c r="K251" s="22"/>
      <c r="L251" s="22"/>
      <c r="M251" s="22"/>
    </row>
    <row r="252" spans="11:13" ht="14.25" customHeight="1" x14ac:dyDescent="0.25">
      <c r="K252" s="22"/>
      <c r="L252" s="22"/>
      <c r="M252" s="22"/>
    </row>
    <row r="253" spans="11:13" ht="14.25" customHeight="1" x14ac:dyDescent="0.25">
      <c r="K253" s="22"/>
      <c r="L253" s="22"/>
      <c r="M253" s="22"/>
    </row>
    <row r="254" spans="11:13" ht="14.25" customHeight="1" x14ac:dyDescent="0.25">
      <c r="K254" s="22"/>
      <c r="L254" s="22"/>
      <c r="M254" s="22"/>
    </row>
    <row r="255" spans="11:13" ht="14.25" customHeight="1" x14ac:dyDescent="0.25">
      <c r="K255" s="22"/>
      <c r="L255" s="22"/>
      <c r="M255" s="22"/>
    </row>
    <row r="256" spans="11:13" ht="14.25" customHeight="1" x14ac:dyDescent="0.25">
      <c r="K256" s="22"/>
      <c r="L256" s="22"/>
      <c r="M256" s="22"/>
    </row>
    <row r="257" spans="11:13" ht="14.25" customHeight="1" x14ac:dyDescent="0.25">
      <c r="K257" s="22"/>
      <c r="L257" s="22"/>
      <c r="M257" s="22"/>
    </row>
    <row r="258" spans="11:13" ht="14.25" customHeight="1" x14ac:dyDescent="0.25">
      <c r="K258" s="22"/>
      <c r="L258" s="22"/>
      <c r="M258" s="22"/>
    </row>
    <row r="259" spans="11:13" ht="14.25" customHeight="1" x14ac:dyDescent="0.25">
      <c r="K259" s="22"/>
      <c r="L259" s="22"/>
      <c r="M259" s="22"/>
    </row>
    <row r="260" spans="11:13" ht="14.25" customHeight="1" x14ac:dyDescent="0.25">
      <c r="K260" s="22"/>
      <c r="L260" s="22"/>
      <c r="M260" s="22"/>
    </row>
    <row r="261" spans="11:13" ht="14.25" customHeight="1" x14ac:dyDescent="0.25">
      <c r="K261" s="22"/>
      <c r="L261" s="22"/>
      <c r="M261" s="22"/>
    </row>
    <row r="262" spans="11:13" ht="14.25" customHeight="1" x14ac:dyDescent="0.25">
      <c r="K262" s="22"/>
      <c r="L262" s="22"/>
      <c r="M262" s="22"/>
    </row>
    <row r="263" spans="11:13" ht="14.25" customHeight="1" x14ac:dyDescent="0.25">
      <c r="K263" s="22"/>
      <c r="L263" s="22"/>
      <c r="M263" s="22"/>
    </row>
    <row r="264" spans="11:13" ht="14.25" customHeight="1" x14ac:dyDescent="0.25">
      <c r="K264" s="22"/>
      <c r="L264" s="22"/>
      <c r="M264" s="22"/>
    </row>
    <row r="265" spans="11:13" ht="14.25" customHeight="1" x14ac:dyDescent="0.25">
      <c r="K265" s="22"/>
      <c r="L265" s="22"/>
      <c r="M265" s="22"/>
    </row>
    <row r="266" spans="11:13" ht="14.25" customHeight="1" x14ac:dyDescent="0.25">
      <c r="K266" s="22"/>
      <c r="L266" s="22"/>
      <c r="M266" s="22"/>
    </row>
    <row r="267" spans="11:13" ht="14.25" customHeight="1" x14ac:dyDescent="0.25">
      <c r="K267" s="22"/>
      <c r="L267" s="22"/>
      <c r="M267" s="22"/>
    </row>
    <row r="268" spans="11:13" ht="14.25" customHeight="1" x14ac:dyDescent="0.25">
      <c r="K268" s="22"/>
      <c r="L268" s="22"/>
      <c r="M268" s="22"/>
    </row>
    <row r="269" spans="11:13" ht="14.25" customHeight="1" x14ac:dyDescent="0.25">
      <c r="K269" s="22"/>
      <c r="L269" s="22"/>
      <c r="M269" s="22"/>
    </row>
    <row r="270" spans="11:13" ht="14.25" customHeight="1" x14ac:dyDescent="0.25">
      <c r="K270" s="22"/>
      <c r="L270" s="22"/>
      <c r="M270" s="22"/>
    </row>
    <row r="271" spans="11:13" ht="14.25" customHeight="1" x14ac:dyDescent="0.25">
      <c r="K271" s="22"/>
      <c r="L271" s="22"/>
      <c r="M271" s="22"/>
    </row>
    <row r="272" spans="11:13" ht="14.25" customHeight="1" x14ac:dyDescent="0.25">
      <c r="K272" s="22"/>
      <c r="L272" s="22"/>
      <c r="M272" s="22"/>
    </row>
    <row r="273" spans="11:13" ht="14.25" customHeight="1" x14ac:dyDescent="0.25">
      <c r="K273" s="22"/>
      <c r="L273" s="22"/>
      <c r="M273" s="22"/>
    </row>
    <row r="274" spans="11:13" ht="14.25" customHeight="1" x14ac:dyDescent="0.25">
      <c r="K274" s="22"/>
      <c r="L274" s="22"/>
      <c r="M274" s="22"/>
    </row>
    <row r="275" spans="11:13" ht="14.25" customHeight="1" x14ac:dyDescent="0.25">
      <c r="K275" s="22"/>
      <c r="L275" s="22"/>
      <c r="M275" s="22"/>
    </row>
    <row r="276" spans="11:13" ht="14.25" customHeight="1" x14ac:dyDescent="0.25">
      <c r="K276" s="22"/>
      <c r="L276" s="22"/>
      <c r="M276" s="22"/>
    </row>
    <row r="277" spans="11:13" ht="14.25" customHeight="1" x14ac:dyDescent="0.25">
      <c r="K277" s="22"/>
      <c r="L277" s="22"/>
      <c r="M277" s="22"/>
    </row>
    <row r="278" spans="11:13" ht="14.25" customHeight="1" x14ac:dyDescent="0.25">
      <c r="K278" s="22"/>
      <c r="L278" s="22"/>
      <c r="M278" s="22"/>
    </row>
    <row r="279" spans="11:13" ht="14.25" customHeight="1" x14ac:dyDescent="0.25">
      <c r="K279" s="22"/>
      <c r="L279" s="22"/>
      <c r="M279" s="22"/>
    </row>
    <row r="280" spans="11:13" ht="14.25" customHeight="1" x14ac:dyDescent="0.25">
      <c r="K280" s="22"/>
      <c r="L280" s="22"/>
      <c r="M280" s="22"/>
    </row>
    <row r="281" spans="11:13" ht="14.25" customHeight="1" x14ac:dyDescent="0.25">
      <c r="K281" s="22"/>
      <c r="L281" s="22"/>
      <c r="M281" s="22"/>
    </row>
    <row r="282" spans="11:13" ht="14.25" customHeight="1" x14ac:dyDescent="0.25">
      <c r="K282" s="22"/>
      <c r="L282" s="22"/>
      <c r="M282" s="22"/>
    </row>
    <row r="283" spans="11:13" ht="14.25" customHeight="1" x14ac:dyDescent="0.25">
      <c r="K283" s="22"/>
      <c r="L283" s="22"/>
      <c r="M283" s="22"/>
    </row>
    <row r="284" spans="11:13" ht="14.25" customHeight="1" x14ac:dyDescent="0.25">
      <c r="K284" s="22"/>
      <c r="L284" s="22"/>
      <c r="M284" s="22"/>
    </row>
    <row r="285" spans="11:13" ht="14.25" customHeight="1" x14ac:dyDescent="0.25">
      <c r="K285" s="22"/>
      <c r="L285" s="22"/>
      <c r="M285" s="22"/>
    </row>
    <row r="286" spans="11:13" ht="14.25" customHeight="1" x14ac:dyDescent="0.25">
      <c r="K286" s="22"/>
      <c r="L286" s="22"/>
      <c r="M286" s="22"/>
    </row>
    <row r="287" spans="11:13" ht="14.25" customHeight="1" x14ac:dyDescent="0.25">
      <c r="K287" s="22"/>
      <c r="L287" s="22"/>
      <c r="M287" s="22"/>
    </row>
    <row r="288" spans="11:13" ht="14.25" customHeight="1" x14ac:dyDescent="0.25">
      <c r="K288" s="22"/>
      <c r="L288" s="22"/>
      <c r="M288" s="22"/>
    </row>
    <row r="289" spans="11:13" ht="14.25" customHeight="1" x14ac:dyDescent="0.25">
      <c r="K289" s="22"/>
      <c r="L289" s="22"/>
      <c r="M289" s="22"/>
    </row>
    <row r="290" spans="11:13" ht="14.25" customHeight="1" x14ac:dyDescent="0.25">
      <c r="K290" s="22"/>
      <c r="L290" s="22"/>
      <c r="M290" s="22"/>
    </row>
    <row r="291" spans="11:13" ht="14.25" customHeight="1" x14ac:dyDescent="0.25">
      <c r="K291" s="22"/>
      <c r="L291" s="22"/>
      <c r="M291" s="22"/>
    </row>
    <row r="292" spans="11:13" ht="14.25" customHeight="1" x14ac:dyDescent="0.25">
      <c r="K292" s="22"/>
      <c r="L292" s="22"/>
      <c r="M292" s="22"/>
    </row>
    <row r="293" spans="11:13" ht="14.25" customHeight="1" x14ac:dyDescent="0.25">
      <c r="K293" s="22"/>
      <c r="L293" s="22"/>
      <c r="M293" s="22"/>
    </row>
    <row r="294" spans="11:13" ht="14.25" customHeight="1" x14ac:dyDescent="0.25">
      <c r="K294" s="22"/>
      <c r="L294" s="22"/>
      <c r="M294" s="22"/>
    </row>
    <row r="295" spans="11:13" ht="14.25" customHeight="1" x14ac:dyDescent="0.25">
      <c r="K295" s="22"/>
      <c r="L295" s="22"/>
      <c r="M295" s="22"/>
    </row>
    <row r="296" spans="11:13" ht="14.25" customHeight="1" x14ac:dyDescent="0.25">
      <c r="K296" s="22"/>
      <c r="L296" s="22"/>
      <c r="M296" s="22"/>
    </row>
    <row r="297" spans="11:13" ht="14.25" customHeight="1" x14ac:dyDescent="0.25">
      <c r="K297" s="22"/>
      <c r="L297" s="22"/>
      <c r="M297" s="22"/>
    </row>
    <row r="298" spans="11:13" ht="14.25" customHeight="1" x14ac:dyDescent="0.25">
      <c r="K298" s="22"/>
      <c r="L298" s="22"/>
      <c r="M298" s="22"/>
    </row>
    <row r="299" spans="11:13" ht="14.25" customHeight="1" x14ac:dyDescent="0.25">
      <c r="K299" s="22"/>
      <c r="L299" s="22"/>
      <c r="M299" s="22"/>
    </row>
    <row r="300" spans="11:13" ht="14.25" customHeight="1" x14ac:dyDescent="0.25">
      <c r="K300" s="22"/>
      <c r="L300" s="22"/>
      <c r="M300" s="22"/>
    </row>
    <row r="301" spans="11:13" ht="14.25" customHeight="1" x14ac:dyDescent="0.25">
      <c r="K301" s="22"/>
      <c r="L301" s="22"/>
      <c r="M301" s="22"/>
    </row>
    <row r="302" spans="11:13" ht="14.25" customHeight="1" x14ac:dyDescent="0.25">
      <c r="K302" s="22"/>
      <c r="L302" s="22"/>
      <c r="M302" s="22"/>
    </row>
    <row r="303" spans="11:13" ht="14.25" customHeight="1" x14ac:dyDescent="0.25">
      <c r="K303" s="22"/>
      <c r="L303" s="22"/>
      <c r="M303" s="22"/>
    </row>
    <row r="304" spans="11:13" ht="14.25" customHeight="1" x14ac:dyDescent="0.25">
      <c r="K304" s="22"/>
      <c r="L304" s="22"/>
      <c r="M304" s="22"/>
    </row>
    <row r="305" spans="11:13" ht="14.25" customHeight="1" x14ac:dyDescent="0.25">
      <c r="K305" s="22"/>
      <c r="L305" s="22"/>
      <c r="M305" s="22"/>
    </row>
    <row r="306" spans="11:13" ht="14.25" customHeight="1" x14ac:dyDescent="0.25">
      <c r="K306" s="22"/>
      <c r="L306" s="22"/>
      <c r="M306" s="22"/>
    </row>
    <row r="307" spans="11:13" ht="14.25" customHeight="1" x14ac:dyDescent="0.25">
      <c r="K307" s="22"/>
      <c r="L307" s="22"/>
      <c r="M307" s="22"/>
    </row>
    <row r="308" spans="11:13" ht="14.25" customHeight="1" x14ac:dyDescent="0.25">
      <c r="K308" s="22"/>
      <c r="L308" s="22"/>
      <c r="M308" s="22"/>
    </row>
    <row r="309" spans="11:13" ht="14.25" customHeight="1" x14ac:dyDescent="0.25">
      <c r="K309" s="22"/>
      <c r="L309" s="22"/>
      <c r="M309" s="22"/>
    </row>
    <row r="310" spans="11:13" ht="14.25" customHeight="1" x14ac:dyDescent="0.25">
      <c r="K310" s="22"/>
      <c r="L310" s="22"/>
      <c r="M310" s="22"/>
    </row>
    <row r="311" spans="11:13" ht="14.25" customHeight="1" x14ac:dyDescent="0.25">
      <c r="K311" s="22"/>
      <c r="L311" s="22"/>
      <c r="M311" s="22"/>
    </row>
    <row r="312" spans="11:13" ht="14.25" customHeight="1" x14ac:dyDescent="0.25">
      <c r="K312" s="22"/>
      <c r="L312" s="22"/>
      <c r="M312" s="22"/>
    </row>
    <row r="313" spans="11:13" ht="14.25" customHeight="1" x14ac:dyDescent="0.25">
      <c r="K313" s="22"/>
      <c r="L313" s="22"/>
      <c r="M313" s="22"/>
    </row>
    <row r="314" spans="11:13" ht="14.25" customHeight="1" x14ac:dyDescent="0.25">
      <c r="K314" s="22"/>
      <c r="L314" s="22"/>
      <c r="M314" s="22"/>
    </row>
    <row r="315" spans="11:13" ht="14.25" customHeight="1" x14ac:dyDescent="0.25">
      <c r="K315" s="22"/>
      <c r="L315" s="22"/>
      <c r="M315" s="22"/>
    </row>
    <row r="316" spans="11:13" ht="14.25" customHeight="1" x14ac:dyDescent="0.25">
      <c r="K316" s="22"/>
      <c r="L316" s="22"/>
      <c r="M316" s="22"/>
    </row>
    <row r="317" spans="11:13" ht="14.25" customHeight="1" x14ac:dyDescent="0.25">
      <c r="K317" s="22"/>
      <c r="L317" s="22"/>
      <c r="M317" s="22"/>
    </row>
    <row r="318" spans="11:13" ht="14.25" customHeight="1" x14ac:dyDescent="0.25">
      <c r="K318" s="22"/>
      <c r="L318" s="22"/>
      <c r="M318" s="22"/>
    </row>
    <row r="319" spans="11:13" ht="14.25" customHeight="1" x14ac:dyDescent="0.25">
      <c r="K319" s="22"/>
      <c r="L319" s="22"/>
      <c r="M319" s="22"/>
    </row>
    <row r="320" spans="11:13" ht="14.25" customHeight="1" x14ac:dyDescent="0.25">
      <c r="K320" s="22"/>
      <c r="L320" s="22"/>
      <c r="M320" s="22"/>
    </row>
    <row r="321" spans="11:13" ht="14.25" customHeight="1" x14ac:dyDescent="0.25">
      <c r="K321" s="22"/>
      <c r="L321" s="22"/>
      <c r="M321" s="22"/>
    </row>
    <row r="322" spans="11:13" ht="14.25" customHeight="1" x14ac:dyDescent="0.25">
      <c r="K322" s="22"/>
      <c r="L322" s="22"/>
      <c r="M322" s="22"/>
    </row>
    <row r="323" spans="11:13" ht="14.25" customHeight="1" x14ac:dyDescent="0.25">
      <c r="K323" s="22"/>
      <c r="L323" s="22"/>
      <c r="M323" s="22"/>
    </row>
    <row r="324" spans="11:13" ht="14.25" customHeight="1" x14ac:dyDescent="0.25">
      <c r="K324" s="22"/>
      <c r="L324" s="22"/>
      <c r="M324" s="22"/>
    </row>
    <row r="325" spans="11:13" ht="14.25" customHeight="1" x14ac:dyDescent="0.25">
      <c r="K325" s="22"/>
      <c r="L325" s="22"/>
      <c r="M325" s="22"/>
    </row>
    <row r="326" spans="11:13" ht="14.25" customHeight="1" x14ac:dyDescent="0.25">
      <c r="K326" s="22"/>
      <c r="L326" s="22"/>
      <c r="M326" s="22"/>
    </row>
    <row r="327" spans="11:13" ht="14.25" customHeight="1" x14ac:dyDescent="0.25">
      <c r="K327" s="22"/>
      <c r="L327" s="22"/>
      <c r="M327" s="22"/>
    </row>
    <row r="328" spans="11:13" ht="14.25" customHeight="1" x14ac:dyDescent="0.25">
      <c r="K328" s="22"/>
      <c r="L328" s="22"/>
      <c r="M328" s="22"/>
    </row>
    <row r="329" spans="11:13" ht="14.25" customHeight="1" x14ac:dyDescent="0.25">
      <c r="K329" s="22"/>
      <c r="L329" s="22"/>
      <c r="M329" s="22"/>
    </row>
    <row r="330" spans="11:13" ht="14.25" customHeight="1" x14ac:dyDescent="0.25">
      <c r="K330" s="22"/>
      <c r="L330" s="22"/>
      <c r="M330" s="22"/>
    </row>
    <row r="331" spans="11:13" ht="14.25" customHeight="1" x14ac:dyDescent="0.25">
      <c r="K331" s="22"/>
      <c r="L331" s="22"/>
      <c r="M331" s="22"/>
    </row>
    <row r="332" spans="11:13" ht="14.25" customHeight="1" x14ac:dyDescent="0.25">
      <c r="K332" s="22"/>
      <c r="L332" s="22"/>
      <c r="M332" s="22"/>
    </row>
    <row r="333" spans="11:13" ht="14.25" customHeight="1" x14ac:dyDescent="0.25">
      <c r="K333" s="22"/>
      <c r="L333" s="22"/>
      <c r="M333" s="22"/>
    </row>
    <row r="334" spans="11:13" ht="14.25" customHeight="1" x14ac:dyDescent="0.25">
      <c r="K334" s="22"/>
      <c r="L334" s="22"/>
      <c r="M334" s="22"/>
    </row>
    <row r="335" spans="11:13" ht="14.25" customHeight="1" x14ac:dyDescent="0.25">
      <c r="K335" s="22"/>
      <c r="L335" s="22"/>
      <c r="M335" s="22"/>
    </row>
    <row r="336" spans="11:13" ht="14.25" customHeight="1" x14ac:dyDescent="0.25">
      <c r="K336" s="22"/>
      <c r="L336" s="22"/>
      <c r="M336" s="22"/>
    </row>
    <row r="337" spans="11:13" ht="14.25" customHeight="1" x14ac:dyDescent="0.25">
      <c r="K337" s="22"/>
      <c r="L337" s="22"/>
      <c r="M337" s="22"/>
    </row>
    <row r="338" spans="11:13" ht="14.25" customHeight="1" x14ac:dyDescent="0.25">
      <c r="K338" s="22"/>
      <c r="L338" s="22"/>
      <c r="M338" s="22"/>
    </row>
    <row r="339" spans="11:13" ht="14.25" customHeight="1" x14ac:dyDescent="0.25">
      <c r="K339" s="22"/>
      <c r="L339" s="22"/>
      <c r="M339" s="22"/>
    </row>
    <row r="340" spans="11:13" ht="14.25" customHeight="1" x14ac:dyDescent="0.25">
      <c r="K340" s="22"/>
      <c r="L340" s="22"/>
      <c r="M340" s="22"/>
    </row>
    <row r="341" spans="11:13" ht="14.25" customHeight="1" x14ac:dyDescent="0.25">
      <c r="K341" s="22"/>
      <c r="L341" s="22"/>
      <c r="M341" s="22"/>
    </row>
    <row r="342" spans="11:13" ht="14.25" customHeight="1" x14ac:dyDescent="0.25">
      <c r="K342" s="22"/>
      <c r="L342" s="22"/>
      <c r="M342" s="22"/>
    </row>
    <row r="343" spans="11:13" ht="14.25" customHeight="1" x14ac:dyDescent="0.25">
      <c r="K343" s="22"/>
      <c r="L343" s="22"/>
      <c r="M343" s="22"/>
    </row>
    <row r="344" spans="11:13" ht="14.25" customHeight="1" x14ac:dyDescent="0.25">
      <c r="K344" s="22"/>
      <c r="L344" s="22"/>
      <c r="M344" s="22"/>
    </row>
    <row r="345" spans="11:13" ht="14.25" customHeight="1" x14ac:dyDescent="0.25">
      <c r="K345" s="22"/>
      <c r="L345" s="22"/>
      <c r="M345" s="22"/>
    </row>
    <row r="346" spans="11:13" ht="14.25" customHeight="1" x14ac:dyDescent="0.25">
      <c r="K346" s="22"/>
      <c r="L346" s="22"/>
      <c r="M346" s="22"/>
    </row>
    <row r="347" spans="11:13" ht="14.25" customHeight="1" x14ac:dyDescent="0.25">
      <c r="K347" s="22"/>
      <c r="L347" s="22"/>
      <c r="M347" s="22"/>
    </row>
    <row r="348" spans="11:13" ht="14.25" customHeight="1" x14ac:dyDescent="0.25">
      <c r="K348" s="22"/>
      <c r="L348" s="22"/>
      <c r="M348" s="22"/>
    </row>
    <row r="349" spans="11:13" ht="14.25" customHeight="1" x14ac:dyDescent="0.25">
      <c r="K349" s="22"/>
      <c r="L349" s="22"/>
      <c r="M349" s="22"/>
    </row>
    <row r="350" spans="11:13" ht="14.25" customHeight="1" x14ac:dyDescent="0.25">
      <c r="K350" s="22"/>
      <c r="L350" s="22"/>
      <c r="M350" s="22"/>
    </row>
    <row r="351" spans="11:13" ht="14.25" customHeight="1" x14ac:dyDescent="0.25">
      <c r="K351" s="22"/>
      <c r="L351" s="22"/>
      <c r="M351" s="22"/>
    </row>
    <row r="352" spans="11:13" ht="14.25" customHeight="1" x14ac:dyDescent="0.25">
      <c r="K352" s="22"/>
      <c r="L352" s="22"/>
      <c r="M352" s="22"/>
    </row>
    <row r="353" spans="11:13" ht="14.25" customHeight="1" x14ac:dyDescent="0.25">
      <c r="K353" s="22"/>
      <c r="L353" s="22"/>
      <c r="M353" s="22"/>
    </row>
    <row r="354" spans="11:13" ht="14.25" customHeight="1" x14ac:dyDescent="0.25">
      <c r="K354" s="22"/>
      <c r="L354" s="22"/>
      <c r="M354" s="22"/>
    </row>
    <row r="355" spans="11:13" ht="14.25" customHeight="1" x14ac:dyDescent="0.25">
      <c r="K355" s="22"/>
      <c r="L355" s="22"/>
      <c r="M355" s="22"/>
    </row>
    <row r="356" spans="11:13" ht="14.25" customHeight="1" x14ac:dyDescent="0.25">
      <c r="K356" s="22"/>
      <c r="L356" s="22"/>
      <c r="M356" s="22"/>
    </row>
    <row r="357" spans="11:13" ht="14.25" customHeight="1" x14ac:dyDescent="0.25">
      <c r="K357" s="22"/>
      <c r="L357" s="22"/>
      <c r="M357" s="22"/>
    </row>
    <row r="358" spans="11:13" ht="14.25" customHeight="1" x14ac:dyDescent="0.25">
      <c r="K358" s="22"/>
      <c r="L358" s="22"/>
      <c r="M358" s="22"/>
    </row>
    <row r="359" spans="11:13" ht="14.25" customHeight="1" x14ac:dyDescent="0.25">
      <c r="K359" s="22"/>
      <c r="L359" s="22"/>
      <c r="M359" s="22"/>
    </row>
    <row r="360" spans="11:13" ht="14.25" customHeight="1" x14ac:dyDescent="0.25">
      <c r="K360" s="22"/>
      <c r="L360" s="22"/>
      <c r="M360" s="22"/>
    </row>
    <row r="361" spans="11:13" ht="14.25" customHeight="1" x14ac:dyDescent="0.25">
      <c r="K361" s="22"/>
      <c r="L361" s="22"/>
      <c r="M361" s="22"/>
    </row>
    <row r="362" spans="11:13" ht="14.25" customHeight="1" x14ac:dyDescent="0.25">
      <c r="K362" s="22"/>
      <c r="L362" s="22"/>
      <c r="M362" s="22"/>
    </row>
    <row r="363" spans="11:13" ht="14.25" customHeight="1" x14ac:dyDescent="0.25">
      <c r="K363" s="22"/>
      <c r="L363" s="22"/>
      <c r="M363" s="22"/>
    </row>
    <row r="364" spans="11:13" ht="14.25" customHeight="1" x14ac:dyDescent="0.25">
      <c r="K364" s="22"/>
      <c r="L364" s="22"/>
      <c r="M364" s="22"/>
    </row>
    <row r="365" spans="11:13" ht="14.25" customHeight="1" x14ac:dyDescent="0.25">
      <c r="K365" s="22"/>
      <c r="L365" s="22"/>
      <c r="M365" s="22"/>
    </row>
    <row r="366" spans="11:13" ht="14.25" customHeight="1" x14ac:dyDescent="0.25">
      <c r="K366" s="22"/>
      <c r="L366" s="22"/>
      <c r="M366" s="22"/>
    </row>
    <row r="367" spans="11:13" ht="14.25" customHeight="1" x14ac:dyDescent="0.25">
      <c r="K367" s="22"/>
      <c r="L367" s="22"/>
      <c r="M367" s="22"/>
    </row>
    <row r="368" spans="11:13" ht="14.25" customHeight="1" x14ac:dyDescent="0.25">
      <c r="K368" s="22"/>
      <c r="L368" s="22"/>
      <c r="M368" s="22"/>
    </row>
    <row r="369" spans="11:13" ht="14.25" customHeight="1" x14ac:dyDescent="0.25">
      <c r="K369" s="22"/>
      <c r="L369" s="22"/>
      <c r="M369" s="22"/>
    </row>
    <row r="370" spans="11:13" ht="14.25" customHeight="1" x14ac:dyDescent="0.25">
      <c r="K370" s="22"/>
      <c r="L370" s="22"/>
      <c r="M370" s="22"/>
    </row>
    <row r="371" spans="11:13" ht="14.25" customHeight="1" x14ac:dyDescent="0.25">
      <c r="K371" s="22"/>
      <c r="L371" s="22"/>
      <c r="M371" s="22"/>
    </row>
    <row r="372" spans="11:13" ht="14.25" customHeight="1" x14ac:dyDescent="0.25">
      <c r="K372" s="22"/>
      <c r="L372" s="22"/>
      <c r="M372" s="22"/>
    </row>
    <row r="373" spans="11:13" ht="14.25" customHeight="1" x14ac:dyDescent="0.25">
      <c r="K373" s="22"/>
      <c r="L373" s="22"/>
      <c r="M373" s="22"/>
    </row>
    <row r="374" spans="11:13" ht="14.25" customHeight="1" x14ac:dyDescent="0.25">
      <c r="K374" s="22"/>
      <c r="L374" s="22"/>
      <c r="M374" s="22"/>
    </row>
    <row r="375" spans="11:13" ht="14.25" customHeight="1" x14ac:dyDescent="0.25">
      <c r="K375" s="22"/>
      <c r="L375" s="22"/>
      <c r="M375" s="22"/>
    </row>
    <row r="376" spans="11:13" ht="14.25" customHeight="1" x14ac:dyDescent="0.25">
      <c r="K376" s="22"/>
      <c r="L376" s="22"/>
      <c r="M376" s="22"/>
    </row>
    <row r="377" spans="11:13" ht="14.25" customHeight="1" x14ac:dyDescent="0.25">
      <c r="K377" s="22"/>
      <c r="L377" s="22"/>
      <c r="M377" s="22"/>
    </row>
    <row r="378" spans="11:13" ht="14.25" customHeight="1" x14ac:dyDescent="0.25">
      <c r="K378" s="22"/>
      <c r="L378" s="22"/>
      <c r="M378" s="22"/>
    </row>
    <row r="379" spans="11:13" ht="14.25" customHeight="1" x14ac:dyDescent="0.25">
      <c r="K379" s="22"/>
      <c r="L379" s="22"/>
      <c r="M379" s="22"/>
    </row>
    <row r="380" spans="11:13" ht="14.25" customHeight="1" x14ac:dyDescent="0.25">
      <c r="K380" s="22"/>
      <c r="L380" s="22"/>
      <c r="M380" s="22"/>
    </row>
    <row r="381" spans="11:13" ht="14.25" customHeight="1" x14ac:dyDescent="0.25">
      <c r="K381" s="22"/>
      <c r="L381" s="22"/>
      <c r="M381" s="22"/>
    </row>
    <row r="382" spans="11:13" ht="14.25" customHeight="1" x14ac:dyDescent="0.25">
      <c r="K382" s="22"/>
      <c r="L382" s="22"/>
      <c r="M382" s="22"/>
    </row>
    <row r="383" spans="11:13" ht="14.25" customHeight="1" x14ac:dyDescent="0.25">
      <c r="K383" s="22"/>
      <c r="L383" s="22"/>
      <c r="M383" s="22"/>
    </row>
    <row r="384" spans="11:13" ht="14.25" customHeight="1" x14ac:dyDescent="0.25">
      <c r="K384" s="22"/>
      <c r="L384" s="22"/>
      <c r="M384" s="22"/>
    </row>
    <row r="385" spans="11:13" ht="14.25" customHeight="1" x14ac:dyDescent="0.25">
      <c r="K385" s="22"/>
      <c r="L385" s="22"/>
      <c r="M385" s="22"/>
    </row>
    <row r="386" spans="11:13" ht="14.25" customHeight="1" x14ac:dyDescent="0.25">
      <c r="K386" s="22"/>
      <c r="L386" s="22"/>
      <c r="M386" s="22"/>
    </row>
    <row r="387" spans="11:13" ht="14.25" customHeight="1" x14ac:dyDescent="0.25">
      <c r="K387" s="22"/>
      <c r="L387" s="22"/>
      <c r="M387" s="22"/>
    </row>
    <row r="388" spans="11:13" ht="14.25" customHeight="1" x14ac:dyDescent="0.25">
      <c r="K388" s="22"/>
      <c r="L388" s="22"/>
      <c r="M388" s="22"/>
    </row>
    <row r="389" spans="11:13" ht="14.25" customHeight="1" x14ac:dyDescent="0.25">
      <c r="K389" s="22"/>
      <c r="L389" s="22"/>
      <c r="M389" s="22"/>
    </row>
    <row r="390" spans="11:13" ht="14.25" customHeight="1" x14ac:dyDescent="0.25">
      <c r="K390" s="22"/>
      <c r="L390" s="22"/>
      <c r="M390" s="22"/>
    </row>
    <row r="391" spans="11:13" ht="14.25" customHeight="1" x14ac:dyDescent="0.25">
      <c r="K391" s="22"/>
      <c r="L391" s="22"/>
      <c r="M391" s="22"/>
    </row>
    <row r="392" spans="11:13" ht="14.25" customHeight="1" x14ac:dyDescent="0.25">
      <c r="K392" s="22"/>
      <c r="L392" s="22"/>
      <c r="M392" s="22"/>
    </row>
    <row r="393" spans="11:13" ht="14.25" customHeight="1" x14ac:dyDescent="0.25">
      <c r="K393" s="22"/>
      <c r="L393" s="22"/>
      <c r="M393" s="22"/>
    </row>
    <row r="394" spans="11:13" ht="14.25" customHeight="1" x14ac:dyDescent="0.25">
      <c r="K394" s="22"/>
      <c r="L394" s="22"/>
      <c r="M394" s="22"/>
    </row>
    <row r="395" spans="11:13" ht="14.25" customHeight="1" x14ac:dyDescent="0.25">
      <c r="K395" s="22"/>
      <c r="L395" s="22"/>
      <c r="M395" s="22"/>
    </row>
    <row r="396" spans="11:13" ht="14.25" customHeight="1" x14ac:dyDescent="0.25">
      <c r="K396" s="22"/>
      <c r="L396" s="22"/>
      <c r="M396" s="22"/>
    </row>
    <row r="397" spans="11:13" ht="14.25" customHeight="1" x14ac:dyDescent="0.25">
      <c r="K397" s="22"/>
      <c r="L397" s="22"/>
      <c r="M397" s="22"/>
    </row>
    <row r="398" spans="11:13" ht="14.25" customHeight="1" x14ac:dyDescent="0.25">
      <c r="K398" s="22"/>
      <c r="L398" s="22"/>
      <c r="M398" s="22"/>
    </row>
    <row r="399" spans="11:13" ht="14.25" customHeight="1" x14ac:dyDescent="0.25">
      <c r="K399" s="22"/>
      <c r="L399" s="22"/>
      <c r="M399" s="22"/>
    </row>
    <row r="400" spans="11:13" ht="14.25" customHeight="1" x14ac:dyDescent="0.25">
      <c r="K400" s="22"/>
      <c r="L400" s="22"/>
      <c r="M400" s="22"/>
    </row>
    <row r="401" spans="11:13" ht="14.25" customHeight="1" x14ac:dyDescent="0.25">
      <c r="K401" s="22"/>
      <c r="L401" s="22"/>
      <c r="M401" s="22"/>
    </row>
    <row r="402" spans="11:13" ht="14.25" customHeight="1" x14ac:dyDescent="0.25">
      <c r="K402" s="22"/>
      <c r="L402" s="22"/>
      <c r="M402" s="22"/>
    </row>
    <row r="403" spans="11:13" ht="14.25" customHeight="1" x14ac:dyDescent="0.25">
      <c r="K403" s="22"/>
      <c r="L403" s="22"/>
      <c r="M403" s="22"/>
    </row>
    <row r="404" spans="11:13" ht="14.25" customHeight="1" x14ac:dyDescent="0.25">
      <c r="K404" s="22"/>
      <c r="L404" s="22"/>
      <c r="M404" s="22"/>
    </row>
    <row r="405" spans="11:13" ht="14.25" customHeight="1" x14ac:dyDescent="0.25">
      <c r="K405" s="22"/>
      <c r="L405" s="22"/>
      <c r="M405" s="22"/>
    </row>
    <row r="406" spans="11:13" ht="14.25" customHeight="1" x14ac:dyDescent="0.25">
      <c r="K406" s="22"/>
      <c r="L406" s="22"/>
      <c r="M406" s="22"/>
    </row>
    <row r="407" spans="11:13" ht="14.25" customHeight="1" x14ac:dyDescent="0.25">
      <c r="K407" s="22"/>
      <c r="L407" s="22"/>
      <c r="M407" s="22"/>
    </row>
    <row r="408" spans="11:13" ht="14.25" customHeight="1" x14ac:dyDescent="0.25">
      <c r="K408" s="22"/>
      <c r="L408" s="22"/>
      <c r="M408" s="22"/>
    </row>
    <row r="409" spans="11:13" ht="14.25" customHeight="1" x14ac:dyDescent="0.25">
      <c r="K409" s="22"/>
      <c r="L409" s="22"/>
      <c r="M409" s="22"/>
    </row>
    <row r="410" spans="11:13" ht="14.25" customHeight="1" x14ac:dyDescent="0.25">
      <c r="K410" s="22"/>
      <c r="L410" s="22"/>
      <c r="M410" s="22"/>
    </row>
    <row r="411" spans="11:13" ht="14.25" customHeight="1" x14ac:dyDescent="0.25">
      <c r="K411" s="22"/>
      <c r="L411" s="22"/>
      <c r="M411" s="22"/>
    </row>
    <row r="412" spans="11:13" ht="14.25" customHeight="1" x14ac:dyDescent="0.25">
      <c r="K412" s="22"/>
      <c r="L412" s="22"/>
      <c r="M412" s="22"/>
    </row>
    <row r="413" spans="11:13" ht="14.25" customHeight="1" x14ac:dyDescent="0.25">
      <c r="K413" s="22"/>
      <c r="L413" s="22"/>
      <c r="M413" s="22"/>
    </row>
    <row r="414" spans="11:13" ht="14.25" customHeight="1" x14ac:dyDescent="0.25">
      <c r="K414" s="22"/>
      <c r="L414" s="22"/>
      <c r="M414" s="22"/>
    </row>
    <row r="415" spans="11:13" ht="14.25" customHeight="1" x14ac:dyDescent="0.25">
      <c r="K415" s="22"/>
      <c r="L415" s="22"/>
      <c r="M415" s="22"/>
    </row>
    <row r="416" spans="11:13" ht="14.25" customHeight="1" x14ac:dyDescent="0.25">
      <c r="K416" s="22"/>
      <c r="L416" s="22"/>
      <c r="M416" s="22"/>
    </row>
    <row r="417" spans="11:13" ht="14.25" customHeight="1" x14ac:dyDescent="0.25">
      <c r="K417" s="22"/>
      <c r="L417" s="22"/>
      <c r="M417" s="22"/>
    </row>
    <row r="418" spans="11:13" ht="14.25" customHeight="1" x14ac:dyDescent="0.25">
      <c r="K418" s="22"/>
      <c r="L418" s="22"/>
      <c r="M418" s="22"/>
    </row>
    <row r="419" spans="11:13" ht="14.25" customHeight="1" x14ac:dyDescent="0.25">
      <c r="K419" s="22"/>
      <c r="L419" s="22"/>
      <c r="M419" s="22"/>
    </row>
    <row r="420" spans="11:13" ht="14.25" customHeight="1" x14ac:dyDescent="0.25">
      <c r="K420" s="22"/>
      <c r="L420" s="22"/>
      <c r="M420" s="22"/>
    </row>
    <row r="421" spans="11:13" ht="14.25" customHeight="1" x14ac:dyDescent="0.25">
      <c r="K421" s="22"/>
      <c r="L421" s="22"/>
      <c r="M421" s="22"/>
    </row>
    <row r="422" spans="11:13" ht="14.25" customHeight="1" x14ac:dyDescent="0.25">
      <c r="K422" s="22"/>
      <c r="L422" s="22"/>
      <c r="M422" s="22"/>
    </row>
    <row r="423" spans="11:13" ht="14.25" customHeight="1" x14ac:dyDescent="0.25">
      <c r="K423" s="22"/>
      <c r="L423" s="22"/>
      <c r="M423" s="22"/>
    </row>
    <row r="424" spans="11:13" ht="14.25" customHeight="1" x14ac:dyDescent="0.25">
      <c r="K424" s="22"/>
      <c r="L424" s="22"/>
      <c r="M424" s="22"/>
    </row>
    <row r="425" spans="11:13" ht="14.25" customHeight="1" x14ac:dyDescent="0.25">
      <c r="K425" s="22"/>
      <c r="L425" s="22"/>
      <c r="M425" s="22"/>
    </row>
    <row r="426" spans="11:13" ht="14.25" customHeight="1" x14ac:dyDescent="0.25">
      <c r="K426" s="22"/>
      <c r="L426" s="22"/>
      <c r="M426" s="22"/>
    </row>
    <row r="427" spans="11:13" ht="14.25" customHeight="1" x14ac:dyDescent="0.25">
      <c r="K427" s="22"/>
      <c r="L427" s="22"/>
      <c r="M427" s="22"/>
    </row>
    <row r="428" spans="11:13" ht="14.25" customHeight="1" x14ac:dyDescent="0.25">
      <c r="K428" s="22"/>
      <c r="L428" s="22"/>
      <c r="M428" s="22"/>
    </row>
    <row r="429" spans="11:13" ht="14.25" customHeight="1" x14ac:dyDescent="0.25">
      <c r="K429" s="22"/>
      <c r="L429" s="22"/>
      <c r="M429" s="22"/>
    </row>
    <row r="430" spans="11:13" ht="14.25" customHeight="1" x14ac:dyDescent="0.25">
      <c r="K430" s="22"/>
      <c r="L430" s="22"/>
      <c r="M430" s="22"/>
    </row>
    <row r="431" spans="11:13" ht="14.25" customHeight="1" x14ac:dyDescent="0.25">
      <c r="K431" s="22"/>
      <c r="L431" s="22"/>
      <c r="M431" s="22"/>
    </row>
    <row r="432" spans="11:13" ht="14.25" customHeight="1" x14ac:dyDescent="0.25">
      <c r="K432" s="22"/>
      <c r="L432" s="22"/>
      <c r="M432" s="22"/>
    </row>
    <row r="433" spans="11:13" ht="14.25" customHeight="1" x14ac:dyDescent="0.25">
      <c r="K433" s="22"/>
      <c r="L433" s="22"/>
      <c r="M433" s="22"/>
    </row>
    <row r="434" spans="11:13" ht="14.25" customHeight="1" x14ac:dyDescent="0.25">
      <c r="K434" s="22"/>
      <c r="L434" s="22"/>
      <c r="M434" s="22"/>
    </row>
    <row r="435" spans="11:13" ht="14.25" customHeight="1" x14ac:dyDescent="0.25">
      <c r="K435" s="22"/>
      <c r="L435" s="22"/>
      <c r="M435" s="22"/>
    </row>
    <row r="436" spans="11:13" ht="14.25" customHeight="1" x14ac:dyDescent="0.25">
      <c r="K436" s="22"/>
      <c r="L436" s="22"/>
      <c r="M436" s="22"/>
    </row>
    <row r="437" spans="11:13" ht="14.25" customHeight="1" x14ac:dyDescent="0.25">
      <c r="K437" s="22"/>
      <c r="L437" s="22"/>
      <c r="M437" s="22"/>
    </row>
    <row r="438" spans="11:13" ht="14.25" customHeight="1" x14ac:dyDescent="0.25">
      <c r="K438" s="22"/>
      <c r="L438" s="22"/>
      <c r="M438" s="22"/>
    </row>
    <row r="439" spans="11:13" ht="14.25" customHeight="1" x14ac:dyDescent="0.25">
      <c r="K439" s="22"/>
      <c r="L439" s="22"/>
      <c r="M439" s="22"/>
    </row>
    <row r="440" spans="11:13" ht="14.25" customHeight="1" x14ac:dyDescent="0.25">
      <c r="K440" s="22"/>
      <c r="L440" s="22"/>
      <c r="M440" s="22"/>
    </row>
    <row r="441" spans="11:13" ht="14.25" customHeight="1" x14ac:dyDescent="0.25">
      <c r="K441" s="22"/>
      <c r="L441" s="22"/>
      <c r="M441" s="22"/>
    </row>
    <row r="442" spans="11:13" ht="14.25" customHeight="1" x14ac:dyDescent="0.25">
      <c r="K442" s="22"/>
      <c r="L442" s="22"/>
      <c r="M442" s="22"/>
    </row>
    <row r="443" spans="11:13" ht="14.25" customHeight="1" x14ac:dyDescent="0.25">
      <c r="K443" s="22"/>
      <c r="L443" s="22"/>
      <c r="M443" s="22"/>
    </row>
    <row r="444" spans="11:13" ht="14.25" customHeight="1" x14ac:dyDescent="0.25">
      <c r="K444" s="22"/>
      <c r="L444" s="22"/>
      <c r="M444" s="22"/>
    </row>
    <row r="445" spans="11:13" ht="14.25" customHeight="1" x14ac:dyDescent="0.25">
      <c r="K445" s="22"/>
      <c r="L445" s="22"/>
      <c r="M445" s="22"/>
    </row>
    <row r="446" spans="11:13" ht="14.25" customHeight="1" x14ac:dyDescent="0.25">
      <c r="K446" s="22"/>
      <c r="L446" s="22"/>
      <c r="M446" s="22"/>
    </row>
    <row r="447" spans="11:13" ht="14.25" customHeight="1" x14ac:dyDescent="0.25">
      <c r="K447" s="22"/>
      <c r="L447" s="22"/>
      <c r="M447" s="22"/>
    </row>
    <row r="448" spans="11:13" ht="14.25" customHeight="1" x14ac:dyDescent="0.25">
      <c r="K448" s="22"/>
      <c r="L448" s="22"/>
      <c r="M448" s="22"/>
    </row>
    <row r="449" spans="11:13" ht="14.25" customHeight="1" x14ac:dyDescent="0.25">
      <c r="K449" s="22"/>
      <c r="L449" s="22"/>
      <c r="M449" s="22"/>
    </row>
    <row r="450" spans="11:13" ht="14.25" customHeight="1" x14ac:dyDescent="0.25">
      <c r="K450" s="22"/>
      <c r="L450" s="22"/>
      <c r="M450" s="22"/>
    </row>
    <row r="451" spans="11:13" ht="14.25" customHeight="1" x14ac:dyDescent="0.25">
      <c r="K451" s="22"/>
      <c r="L451" s="22"/>
      <c r="M451" s="22"/>
    </row>
    <row r="452" spans="11:13" ht="14.25" customHeight="1" x14ac:dyDescent="0.25">
      <c r="K452" s="22"/>
      <c r="L452" s="22"/>
      <c r="M452" s="22"/>
    </row>
    <row r="453" spans="11:13" ht="14.25" customHeight="1" x14ac:dyDescent="0.25">
      <c r="K453" s="22"/>
      <c r="L453" s="22"/>
      <c r="M453" s="22"/>
    </row>
    <row r="454" spans="11:13" ht="14.25" customHeight="1" x14ac:dyDescent="0.25">
      <c r="K454" s="22"/>
      <c r="L454" s="22"/>
      <c r="M454" s="22"/>
    </row>
    <row r="455" spans="11:13" ht="14.25" customHeight="1" x14ac:dyDescent="0.25">
      <c r="K455" s="22"/>
      <c r="L455" s="22"/>
      <c r="M455" s="22"/>
    </row>
    <row r="456" spans="11:13" ht="14.25" customHeight="1" x14ac:dyDescent="0.25">
      <c r="K456" s="22"/>
      <c r="L456" s="22"/>
      <c r="M456" s="22"/>
    </row>
    <row r="457" spans="11:13" ht="14.25" customHeight="1" x14ac:dyDescent="0.25">
      <c r="K457" s="22"/>
      <c r="L457" s="22"/>
      <c r="M457" s="22"/>
    </row>
    <row r="458" spans="11:13" ht="14.25" customHeight="1" x14ac:dyDescent="0.25">
      <c r="K458" s="22"/>
      <c r="L458" s="22"/>
      <c r="M458" s="22"/>
    </row>
    <row r="459" spans="11:13" ht="14.25" customHeight="1" x14ac:dyDescent="0.25">
      <c r="K459" s="22"/>
      <c r="L459" s="22"/>
      <c r="M459" s="22"/>
    </row>
    <row r="460" spans="11:13" ht="14.25" customHeight="1" x14ac:dyDescent="0.25">
      <c r="K460" s="22"/>
      <c r="L460" s="22"/>
      <c r="M460" s="22"/>
    </row>
    <row r="461" spans="11:13" ht="14.25" customHeight="1" x14ac:dyDescent="0.25">
      <c r="K461" s="22"/>
      <c r="L461" s="22"/>
      <c r="M461" s="22"/>
    </row>
    <row r="462" spans="11:13" ht="14.25" customHeight="1" x14ac:dyDescent="0.25">
      <c r="K462" s="22"/>
      <c r="L462" s="22"/>
      <c r="M462" s="22"/>
    </row>
    <row r="463" spans="11:13" ht="14.25" customHeight="1" x14ac:dyDescent="0.25">
      <c r="K463" s="22"/>
      <c r="L463" s="22"/>
      <c r="M463" s="22"/>
    </row>
    <row r="464" spans="11:13" ht="14.25" customHeight="1" x14ac:dyDescent="0.25">
      <c r="K464" s="22"/>
      <c r="L464" s="22"/>
      <c r="M464" s="22"/>
    </row>
    <row r="465" spans="11:13" ht="14.25" customHeight="1" x14ac:dyDescent="0.25">
      <c r="K465" s="22"/>
      <c r="L465" s="22"/>
      <c r="M465" s="22"/>
    </row>
    <row r="466" spans="11:13" ht="14.25" customHeight="1" x14ac:dyDescent="0.25">
      <c r="K466" s="22"/>
      <c r="L466" s="22"/>
      <c r="M466" s="22"/>
    </row>
    <row r="467" spans="11:13" ht="14.25" customHeight="1" x14ac:dyDescent="0.25">
      <c r="K467" s="22"/>
      <c r="L467" s="22"/>
      <c r="M467" s="22"/>
    </row>
    <row r="468" spans="11:13" ht="14.25" customHeight="1" x14ac:dyDescent="0.25">
      <c r="K468" s="22"/>
      <c r="L468" s="22"/>
      <c r="M468" s="22"/>
    </row>
    <row r="469" spans="11:13" ht="14.25" customHeight="1" x14ac:dyDescent="0.25">
      <c r="K469" s="22"/>
      <c r="L469" s="22"/>
      <c r="M469" s="22"/>
    </row>
    <row r="470" spans="11:13" ht="14.25" customHeight="1" x14ac:dyDescent="0.25">
      <c r="K470" s="22"/>
      <c r="L470" s="22"/>
      <c r="M470" s="22"/>
    </row>
    <row r="471" spans="11:13" ht="14.25" customHeight="1" x14ac:dyDescent="0.25">
      <c r="K471" s="22"/>
      <c r="L471" s="22"/>
      <c r="M471" s="22"/>
    </row>
    <row r="472" spans="11:13" ht="14.25" customHeight="1" x14ac:dyDescent="0.25">
      <c r="K472" s="22"/>
      <c r="L472" s="22"/>
      <c r="M472" s="22"/>
    </row>
    <row r="473" spans="11:13" ht="14.25" customHeight="1" x14ac:dyDescent="0.25">
      <c r="K473" s="22"/>
      <c r="L473" s="22"/>
      <c r="M473" s="22"/>
    </row>
    <row r="474" spans="11:13" ht="14.25" customHeight="1" x14ac:dyDescent="0.25">
      <c r="K474" s="22"/>
      <c r="L474" s="22"/>
      <c r="M474" s="22"/>
    </row>
    <row r="475" spans="11:13" ht="14.25" customHeight="1" x14ac:dyDescent="0.25">
      <c r="K475" s="22"/>
      <c r="L475" s="22"/>
      <c r="M475" s="22"/>
    </row>
    <row r="476" spans="11:13" ht="14.25" customHeight="1" x14ac:dyDescent="0.25">
      <c r="K476" s="22"/>
      <c r="L476" s="22"/>
      <c r="M476" s="22"/>
    </row>
    <row r="477" spans="11:13" ht="14.25" customHeight="1" x14ac:dyDescent="0.25">
      <c r="K477" s="22"/>
      <c r="L477" s="22"/>
      <c r="M477" s="22"/>
    </row>
    <row r="478" spans="11:13" ht="14.25" customHeight="1" x14ac:dyDescent="0.25">
      <c r="K478" s="22"/>
      <c r="L478" s="22"/>
      <c r="M478" s="22"/>
    </row>
    <row r="479" spans="11:13" ht="14.25" customHeight="1" x14ac:dyDescent="0.25">
      <c r="K479" s="22"/>
      <c r="L479" s="22"/>
      <c r="M479" s="22"/>
    </row>
    <row r="480" spans="11:13" ht="14.25" customHeight="1" x14ac:dyDescent="0.25">
      <c r="K480" s="22"/>
      <c r="L480" s="22"/>
      <c r="M480" s="22"/>
    </row>
    <row r="481" spans="11:13" ht="14.25" customHeight="1" x14ac:dyDescent="0.25">
      <c r="K481" s="22"/>
      <c r="L481" s="22"/>
      <c r="M481" s="22"/>
    </row>
    <row r="482" spans="11:13" ht="14.25" customHeight="1" x14ac:dyDescent="0.25">
      <c r="K482" s="22"/>
      <c r="L482" s="22"/>
      <c r="M482" s="22"/>
    </row>
    <row r="483" spans="11:13" ht="14.25" customHeight="1" x14ac:dyDescent="0.25">
      <c r="K483" s="22"/>
      <c r="L483" s="22"/>
      <c r="M483" s="22"/>
    </row>
    <row r="484" spans="11:13" ht="14.25" customHeight="1" x14ac:dyDescent="0.25">
      <c r="K484" s="22"/>
      <c r="L484" s="22"/>
      <c r="M484" s="22"/>
    </row>
    <row r="485" spans="11:13" ht="14.25" customHeight="1" x14ac:dyDescent="0.25">
      <c r="K485" s="22"/>
      <c r="L485" s="22"/>
      <c r="M485" s="22"/>
    </row>
    <row r="486" spans="11:13" ht="14.25" customHeight="1" x14ac:dyDescent="0.25">
      <c r="K486" s="22"/>
      <c r="L486" s="22"/>
      <c r="M486" s="22"/>
    </row>
    <row r="487" spans="11:13" ht="14.25" customHeight="1" x14ac:dyDescent="0.25">
      <c r="K487" s="22"/>
      <c r="L487" s="22"/>
      <c r="M487" s="22"/>
    </row>
    <row r="488" spans="11:13" ht="14.25" customHeight="1" x14ac:dyDescent="0.25">
      <c r="K488" s="22"/>
      <c r="L488" s="22"/>
      <c r="M488" s="22"/>
    </row>
    <row r="489" spans="11:13" ht="14.25" customHeight="1" x14ac:dyDescent="0.25">
      <c r="K489" s="22"/>
      <c r="L489" s="22"/>
      <c r="M489" s="22"/>
    </row>
    <row r="490" spans="11:13" ht="14.25" customHeight="1" x14ac:dyDescent="0.25">
      <c r="K490" s="22"/>
      <c r="L490" s="22"/>
      <c r="M490" s="22"/>
    </row>
    <row r="491" spans="11:13" ht="14.25" customHeight="1" x14ac:dyDescent="0.25">
      <c r="K491" s="22"/>
      <c r="L491" s="22"/>
      <c r="M491" s="22"/>
    </row>
    <row r="492" spans="11:13" ht="14.25" customHeight="1" x14ac:dyDescent="0.25">
      <c r="K492" s="22"/>
      <c r="L492" s="22"/>
      <c r="M492" s="22"/>
    </row>
    <row r="493" spans="11:13" ht="14.25" customHeight="1" x14ac:dyDescent="0.25">
      <c r="K493" s="22"/>
      <c r="L493" s="22"/>
      <c r="M493" s="22"/>
    </row>
    <row r="494" spans="11:13" ht="14.25" customHeight="1" x14ac:dyDescent="0.25">
      <c r="K494" s="22"/>
      <c r="L494" s="22"/>
      <c r="M494" s="22"/>
    </row>
    <row r="495" spans="11:13" ht="14.25" customHeight="1" x14ac:dyDescent="0.25">
      <c r="K495" s="22"/>
      <c r="L495" s="22"/>
      <c r="M495" s="22"/>
    </row>
    <row r="496" spans="11:13" ht="14.25" customHeight="1" x14ac:dyDescent="0.25">
      <c r="K496" s="22"/>
      <c r="L496" s="22"/>
      <c r="M496" s="22"/>
    </row>
    <row r="497" spans="11:13" ht="14.25" customHeight="1" x14ac:dyDescent="0.25">
      <c r="K497" s="22"/>
      <c r="L497" s="22"/>
      <c r="M497" s="22"/>
    </row>
    <row r="498" spans="11:13" ht="14.25" customHeight="1" x14ac:dyDescent="0.25">
      <c r="K498" s="22"/>
      <c r="L498" s="22"/>
      <c r="M498" s="22"/>
    </row>
    <row r="499" spans="11:13" ht="14.25" customHeight="1" x14ac:dyDescent="0.25">
      <c r="K499" s="22"/>
      <c r="L499" s="22"/>
      <c r="M499" s="22"/>
    </row>
    <row r="500" spans="11:13" ht="14.25" customHeight="1" x14ac:dyDescent="0.25">
      <c r="K500" s="22"/>
      <c r="L500" s="22"/>
      <c r="M500" s="22"/>
    </row>
    <row r="501" spans="11:13" ht="14.25" customHeight="1" x14ac:dyDescent="0.25">
      <c r="K501" s="22"/>
      <c r="L501" s="22"/>
      <c r="M501" s="22"/>
    </row>
    <row r="502" spans="11:13" ht="14.25" customHeight="1" x14ac:dyDescent="0.25">
      <c r="K502" s="22"/>
      <c r="L502" s="22"/>
      <c r="M502" s="22"/>
    </row>
    <row r="503" spans="11:13" ht="14.25" customHeight="1" x14ac:dyDescent="0.25">
      <c r="K503" s="22"/>
      <c r="L503" s="22"/>
      <c r="M503" s="22"/>
    </row>
    <row r="504" spans="11:13" ht="14.25" customHeight="1" x14ac:dyDescent="0.25">
      <c r="K504" s="22"/>
      <c r="L504" s="22"/>
      <c r="M504" s="22"/>
    </row>
    <row r="505" spans="11:13" ht="14.25" customHeight="1" x14ac:dyDescent="0.25">
      <c r="K505" s="22"/>
      <c r="L505" s="22"/>
      <c r="M505" s="22"/>
    </row>
    <row r="506" spans="11:13" ht="14.25" customHeight="1" x14ac:dyDescent="0.25">
      <c r="K506" s="22"/>
      <c r="L506" s="22"/>
      <c r="M506" s="22"/>
    </row>
    <row r="507" spans="11:13" ht="14.25" customHeight="1" x14ac:dyDescent="0.25">
      <c r="K507" s="22"/>
      <c r="L507" s="22"/>
      <c r="M507" s="22"/>
    </row>
    <row r="508" spans="11:13" ht="14.25" customHeight="1" x14ac:dyDescent="0.25">
      <c r="K508" s="22"/>
      <c r="L508" s="22"/>
      <c r="M508" s="22"/>
    </row>
    <row r="509" spans="11:13" ht="14.25" customHeight="1" x14ac:dyDescent="0.25">
      <c r="K509" s="22"/>
      <c r="L509" s="22"/>
      <c r="M509" s="22"/>
    </row>
    <row r="510" spans="11:13" ht="14.25" customHeight="1" x14ac:dyDescent="0.25">
      <c r="K510" s="22"/>
      <c r="L510" s="22"/>
      <c r="M510" s="22"/>
    </row>
    <row r="511" spans="11:13" ht="14.25" customHeight="1" x14ac:dyDescent="0.25">
      <c r="K511" s="22"/>
      <c r="L511" s="22"/>
      <c r="M511" s="22"/>
    </row>
    <row r="512" spans="11:13" ht="14.25" customHeight="1" x14ac:dyDescent="0.25">
      <c r="K512" s="22"/>
      <c r="L512" s="22"/>
      <c r="M512" s="22"/>
    </row>
    <row r="513" spans="11:13" ht="14.25" customHeight="1" x14ac:dyDescent="0.25">
      <c r="K513" s="22"/>
      <c r="L513" s="22"/>
      <c r="M513" s="22"/>
    </row>
    <row r="514" spans="11:13" ht="14.25" customHeight="1" x14ac:dyDescent="0.25">
      <c r="K514" s="22"/>
      <c r="L514" s="22"/>
      <c r="M514" s="22"/>
    </row>
    <row r="515" spans="11:13" ht="14.25" customHeight="1" x14ac:dyDescent="0.25">
      <c r="K515" s="22"/>
      <c r="L515" s="22"/>
      <c r="M515" s="22"/>
    </row>
    <row r="516" spans="11:13" ht="14.25" customHeight="1" x14ac:dyDescent="0.25">
      <c r="K516" s="22"/>
      <c r="L516" s="22"/>
      <c r="M516" s="22"/>
    </row>
    <row r="517" spans="11:13" ht="14.25" customHeight="1" x14ac:dyDescent="0.25">
      <c r="K517" s="22"/>
      <c r="L517" s="22"/>
      <c r="M517" s="22"/>
    </row>
    <row r="518" spans="11:13" ht="14.25" customHeight="1" x14ac:dyDescent="0.25">
      <c r="K518" s="22"/>
      <c r="L518" s="22"/>
      <c r="M518" s="22"/>
    </row>
    <row r="519" spans="11:13" ht="14.25" customHeight="1" x14ac:dyDescent="0.25">
      <c r="K519" s="22"/>
      <c r="L519" s="22"/>
      <c r="M519" s="22"/>
    </row>
    <row r="520" spans="11:13" ht="14.25" customHeight="1" x14ac:dyDescent="0.25">
      <c r="K520" s="22"/>
      <c r="L520" s="22"/>
      <c r="M520" s="22"/>
    </row>
    <row r="521" spans="11:13" ht="14.25" customHeight="1" x14ac:dyDescent="0.25">
      <c r="K521" s="22"/>
      <c r="L521" s="22"/>
      <c r="M521" s="22"/>
    </row>
    <row r="522" spans="11:13" ht="14.25" customHeight="1" x14ac:dyDescent="0.25">
      <c r="K522" s="22"/>
      <c r="L522" s="22"/>
      <c r="M522" s="22"/>
    </row>
    <row r="523" spans="11:13" ht="14.25" customHeight="1" x14ac:dyDescent="0.25">
      <c r="K523" s="22"/>
      <c r="L523" s="22"/>
      <c r="M523" s="22"/>
    </row>
    <row r="524" spans="11:13" ht="14.25" customHeight="1" x14ac:dyDescent="0.25">
      <c r="K524" s="22"/>
      <c r="L524" s="22"/>
      <c r="M524" s="22"/>
    </row>
    <row r="525" spans="11:13" ht="14.25" customHeight="1" x14ac:dyDescent="0.25">
      <c r="K525" s="22"/>
      <c r="L525" s="22"/>
      <c r="M525" s="22"/>
    </row>
    <row r="526" spans="11:13" ht="14.25" customHeight="1" x14ac:dyDescent="0.25">
      <c r="K526" s="22"/>
      <c r="L526" s="22"/>
      <c r="M526" s="22"/>
    </row>
    <row r="527" spans="11:13" ht="14.25" customHeight="1" x14ac:dyDescent="0.25">
      <c r="K527" s="22"/>
      <c r="L527" s="22"/>
      <c r="M527" s="22"/>
    </row>
    <row r="528" spans="11:13" ht="14.25" customHeight="1" x14ac:dyDescent="0.25">
      <c r="K528" s="22"/>
      <c r="L528" s="22"/>
      <c r="M528" s="22"/>
    </row>
    <row r="529" spans="11:13" ht="14.25" customHeight="1" x14ac:dyDescent="0.25">
      <c r="K529" s="22"/>
      <c r="L529" s="22"/>
      <c r="M529" s="22"/>
    </row>
    <row r="530" spans="11:13" ht="14.25" customHeight="1" x14ac:dyDescent="0.25">
      <c r="K530" s="22"/>
      <c r="L530" s="22"/>
      <c r="M530" s="22"/>
    </row>
    <row r="531" spans="11:13" ht="14.25" customHeight="1" x14ac:dyDescent="0.25">
      <c r="K531" s="22"/>
      <c r="L531" s="22"/>
      <c r="M531" s="22"/>
    </row>
    <row r="532" spans="11:13" ht="14.25" customHeight="1" x14ac:dyDescent="0.25">
      <c r="K532" s="22"/>
      <c r="L532" s="22"/>
      <c r="M532" s="22"/>
    </row>
    <row r="533" spans="11:13" ht="14.25" customHeight="1" x14ac:dyDescent="0.25">
      <c r="K533" s="22"/>
      <c r="L533" s="22"/>
      <c r="M533" s="22"/>
    </row>
    <row r="534" spans="11:13" ht="14.25" customHeight="1" x14ac:dyDescent="0.25">
      <c r="K534" s="22"/>
      <c r="L534" s="22"/>
      <c r="M534" s="22"/>
    </row>
    <row r="535" spans="11:13" ht="14.25" customHeight="1" x14ac:dyDescent="0.25">
      <c r="K535" s="22"/>
      <c r="L535" s="22"/>
      <c r="M535" s="22"/>
    </row>
    <row r="536" spans="11:13" ht="14.25" customHeight="1" x14ac:dyDescent="0.25">
      <c r="K536" s="22"/>
      <c r="L536" s="22"/>
      <c r="M536" s="22"/>
    </row>
    <row r="537" spans="11:13" ht="14.25" customHeight="1" x14ac:dyDescent="0.25">
      <c r="K537" s="22"/>
      <c r="L537" s="22"/>
      <c r="M537" s="22"/>
    </row>
    <row r="538" spans="11:13" ht="14.25" customHeight="1" x14ac:dyDescent="0.25">
      <c r="K538" s="22"/>
      <c r="L538" s="22"/>
      <c r="M538" s="22"/>
    </row>
    <row r="539" spans="11:13" ht="14.25" customHeight="1" x14ac:dyDescent="0.25">
      <c r="K539" s="22"/>
      <c r="L539" s="22"/>
      <c r="M539" s="22"/>
    </row>
    <row r="540" spans="11:13" ht="14.25" customHeight="1" x14ac:dyDescent="0.25">
      <c r="K540" s="22"/>
      <c r="L540" s="22"/>
      <c r="M540" s="22"/>
    </row>
    <row r="541" spans="11:13" ht="14.25" customHeight="1" x14ac:dyDescent="0.25">
      <c r="K541" s="22"/>
      <c r="L541" s="22"/>
      <c r="M541" s="22"/>
    </row>
    <row r="542" spans="11:13" ht="14.25" customHeight="1" x14ac:dyDescent="0.25">
      <c r="K542" s="22"/>
      <c r="L542" s="22"/>
      <c r="M542" s="22"/>
    </row>
    <row r="543" spans="11:13" ht="14.25" customHeight="1" x14ac:dyDescent="0.25">
      <c r="K543" s="22"/>
      <c r="L543" s="22"/>
      <c r="M543" s="22"/>
    </row>
    <row r="544" spans="11:13" ht="14.25" customHeight="1" x14ac:dyDescent="0.25">
      <c r="K544" s="22"/>
      <c r="L544" s="22"/>
      <c r="M544" s="22"/>
    </row>
    <row r="545" spans="11:13" ht="14.25" customHeight="1" x14ac:dyDescent="0.25">
      <c r="K545" s="22"/>
      <c r="L545" s="22"/>
      <c r="M545" s="22"/>
    </row>
    <row r="546" spans="11:13" ht="14.25" customHeight="1" x14ac:dyDescent="0.25">
      <c r="K546" s="22"/>
      <c r="L546" s="22"/>
      <c r="M546" s="22"/>
    </row>
    <row r="547" spans="11:13" ht="14.25" customHeight="1" x14ac:dyDescent="0.25">
      <c r="K547" s="22"/>
      <c r="L547" s="22"/>
      <c r="M547" s="22"/>
    </row>
    <row r="548" spans="11:13" ht="14.25" customHeight="1" x14ac:dyDescent="0.25">
      <c r="K548" s="22"/>
      <c r="L548" s="22"/>
      <c r="M548" s="22"/>
    </row>
    <row r="549" spans="11:13" ht="14.25" customHeight="1" x14ac:dyDescent="0.25">
      <c r="K549" s="22"/>
      <c r="L549" s="22"/>
      <c r="M549" s="22"/>
    </row>
    <row r="550" spans="11:13" ht="14.25" customHeight="1" x14ac:dyDescent="0.25">
      <c r="K550" s="22"/>
      <c r="L550" s="22"/>
      <c r="M550" s="22"/>
    </row>
    <row r="551" spans="11:13" ht="14.25" customHeight="1" x14ac:dyDescent="0.25">
      <c r="K551" s="22"/>
      <c r="L551" s="22"/>
      <c r="M551" s="22"/>
    </row>
    <row r="552" spans="11:13" ht="14.25" customHeight="1" x14ac:dyDescent="0.25">
      <c r="K552" s="22"/>
      <c r="L552" s="22"/>
      <c r="M552" s="22"/>
    </row>
    <row r="553" spans="11:13" ht="14.25" customHeight="1" x14ac:dyDescent="0.25">
      <c r="K553" s="22"/>
      <c r="L553" s="22"/>
      <c r="M553" s="22"/>
    </row>
    <row r="554" spans="11:13" ht="14.25" customHeight="1" x14ac:dyDescent="0.25">
      <c r="K554" s="22"/>
      <c r="L554" s="22"/>
      <c r="M554" s="22"/>
    </row>
    <row r="555" spans="11:13" ht="14.25" customHeight="1" x14ac:dyDescent="0.25">
      <c r="K555" s="22"/>
      <c r="L555" s="22"/>
      <c r="M555" s="22"/>
    </row>
    <row r="556" spans="11:13" ht="14.25" customHeight="1" x14ac:dyDescent="0.25">
      <c r="K556" s="22"/>
      <c r="L556" s="22"/>
      <c r="M556" s="22"/>
    </row>
    <row r="557" spans="11:13" ht="14.25" customHeight="1" x14ac:dyDescent="0.25">
      <c r="K557" s="22"/>
      <c r="L557" s="22"/>
      <c r="M557" s="22"/>
    </row>
    <row r="558" spans="11:13" ht="14.25" customHeight="1" x14ac:dyDescent="0.25">
      <c r="K558" s="22"/>
      <c r="L558" s="22"/>
      <c r="M558" s="22"/>
    </row>
    <row r="559" spans="11:13" ht="14.25" customHeight="1" x14ac:dyDescent="0.25">
      <c r="K559" s="22"/>
      <c r="L559" s="22"/>
      <c r="M559" s="22"/>
    </row>
    <row r="560" spans="11:13" ht="14.25" customHeight="1" x14ac:dyDescent="0.25">
      <c r="K560" s="22"/>
      <c r="L560" s="22"/>
      <c r="M560" s="22"/>
    </row>
    <row r="561" spans="11:13" ht="14.25" customHeight="1" x14ac:dyDescent="0.25">
      <c r="K561" s="22"/>
      <c r="L561" s="22"/>
      <c r="M561" s="22"/>
    </row>
    <row r="562" spans="11:13" ht="14.25" customHeight="1" x14ac:dyDescent="0.25">
      <c r="K562" s="22"/>
      <c r="L562" s="22"/>
      <c r="M562" s="22"/>
    </row>
    <row r="563" spans="11:13" ht="14.25" customHeight="1" x14ac:dyDescent="0.25">
      <c r="K563" s="22"/>
      <c r="L563" s="22"/>
      <c r="M563" s="22"/>
    </row>
    <row r="564" spans="11:13" ht="14.25" customHeight="1" x14ac:dyDescent="0.25">
      <c r="K564" s="22"/>
      <c r="L564" s="22"/>
      <c r="M564" s="22"/>
    </row>
    <row r="565" spans="11:13" ht="14.25" customHeight="1" x14ac:dyDescent="0.25">
      <c r="K565" s="22"/>
      <c r="L565" s="22"/>
      <c r="M565" s="22"/>
    </row>
    <row r="566" spans="11:13" ht="14.25" customHeight="1" x14ac:dyDescent="0.25">
      <c r="K566" s="22"/>
      <c r="L566" s="22"/>
      <c r="M566" s="22"/>
    </row>
    <row r="567" spans="11:13" ht="14.25" customHeight="1" x14ac:dyDescent="0.25">
      <c r="K567" s="22"/>
      <c r="L567" s="22"/>
      <c r="M567" s="22"/>
    </row>
    <row r="568" spans="11:13" ht="14.25" customHeight="1" x14ac:dyDescent="0.25">
      <c r="K568" s="22"/>
      <c r="L568" s="22"/>
      <c r="M568" s="22"/>
    </row>
    <row r="569" spans="11:13" ht="14.25" customHeight="1" x14ac:dyDescent="0.25">
      <c r="K569" s="22"/>
      <c r="L569" s="22"/>
      <c r="M569" s="22"/>
    </row>
    <row r="570" spans="11:13" ht="14.25" customHeight="1" x14ac:dyDescent="0.25">
      <c r="K570" s="22"/>
      <c r="L570" s="22"/>
      <c r="M570" s="22"/>
    </row>
    <row r="571" spans="11:13" ht="14.25" customHeight="1" x14ac:dyDescent="0.25">
      <c r="K571" s="22"/>
      <c r="L571" s="22"/>
      <c r="M571" s="22"/>
    </row>
    <row r="572" spans="11:13" ht="14.25" customHeight="1" x14ac:dyDescent="0.25">
      <c r="K572" s="22"/>
      <c r="L572" s="22"/>
      <c r="M572" s="22"/>
    </row>
    <row r="573" spans="11:13" ht="14.25" customHeight="1" x14ac:dyDescent="0.25">
      <c r="K573" s="22"/>
      <c r="L573" s="22"/>
      <c r="M573" s="22"/>
    </row>
    <row r="574" spans="11:13" ht="14.25" customHeight="1" x14ac:dyDescent="0.25">
      <c r="K574" s="22"/>
      <c r="L574" s="22"/>
      <c r="M574" s="22"/>
    </row>
    <row r="575" spans="11:13" ht="14.25" customHeight="1" x14ac:dyDescent="0.25">
      <c r="K575" s="22"/>
      <c r="L575" s="22"/>
      <c r="M575" s="22"/>
    </row>
    <row r="576" spans="11:13" ht="14.25" customHeight="1" x14ac:dyDescent="0.25">
      <c r="K576" s="22"/>
      <c r="L576" s="22"/>
      <c r="M576" s="22"/>
    </row>
    <row r="577" spans="11:13" ht="14.25" customHeight="1" x14ac:dyDescent="0.25">
      <c r="K577" s="22"/>
      <c r="L577" s="22"/>
      <c r="M577" s="22"/>
    </row>
    <row r="578" spans="11:13" ht="14.25" customHeight="1" x14ac:dyDescent="0.25">
      <c r="K578" s="22"/>
      <c r="L578" s="22"/>
      <c r="M578" s="22"/>
    </row>
    <row r="579" spans="11:13" ht="14.25" customHeight="1" x14ac:dyDescent="0.25">
      <c r="K579" s="22"/>
      <c r="L579" s="22"/>
      <c r="M579" s="22"/>
    </row>
    <row r="580" spans="11:13" ht="14.25" customHeight="1" x14ac:dyDescent="0.25">
      <c r="K580" s="22"/>
      <c r="L580" s="22"/>
      <c r="M580" s="22"/>
    </row>
    <row r="581" spans="11:13" ht="14.25" customHeight="1" x14ac:dyDescent="0.25">
      <c r="K581" s="22"/>
      <c r="L581" s="22"/>
      <c r="M581" s="22"/>
    </row>
    <row r="582" spans="11:13" ht="14.25" customHeight="1" x14ac:dyDescent="0.25">
      <c r="K582" s="22"/>
      <c r="L582" s="22"/>
      <c r="M582" s="22"/>
    </row>
    <row r="583" spans="11:13" ht="14.25" customHeight="1" x14ac:dyDescent="0.25">
      <c r="K583" s="22"/>
      <c r="L583" s="22"/>
      <c r="M583" s="22"/>
    </row>
    <row r="584" spans="11:13" ht="14.25" customHeight="1" x14ac:dyDescent="0.25">
      <c r="K584" s="22"/>
      <c r="L584" s="22"/>
      <c r="M584" s="22"/>
    </row>
    <row r="585" spans="11:13" ht="14.25" customHeight="1" x14ac:dyDescent="0.25">
      <c r="K585" s="22"/>
      <c r="L585" s="22"/>
      <c r="M585" s="22"/>
    </row>
    <row r="586" spans="11:13" ht="14.25" customHeight="1" x14ac:dyDescent="0.25">
      <c r="K586" s="22"/>
      <c r="L586" s="22"/>
      <c r="M586" s="22"/>
    </row>
    <row r="587" spans="11:13" ht="14.25" customHeight="1" x14ac:dyDescent="0.25">
      <c r="K587" s="22"/>
      <c r="L587" s="22"/>
      <c r="M587" s="22"/>
    </row>
    <row r="588" spans="11:13" ht="14.25" customHeight="1" x14ac:dyDescent="0.25">
      <c r="K588" s="22"/>
      <c r="L588" s="22"/>
      <c r="M588" s="22"/>
    </row>
    <row r="589" spans="11:13" ht="14.25" customHeight="1" x14ac:dyDescent="0.25">
      <c r="K589" s="22"/>
      <c r="L589" s="22"/>
      <c r="M589" s="22"/>
    </row>
    <row r="590" spans="11:13" ht="14.25" customHeight="1" x14ac:dyDescent="0.25">
      <c r="K590" s="22"/>
      <c r="L590" s="22"/>
      <c r="M590" s="22"/>
    </row>
    <row r="591" spans="11:13" ht="14.25" customHeight="1" x14ac:dyDescent="0.25">
      <c r="K591" s="22"/>
      <c r="L591" s="22"/>
      <c r="M591" s="22"/>
    </row>
    <row r="592" spans="11:13" ht="14.25" customHeight="1" x14ac:dyDescent="0.25">
      <c r="K592" s="22"/>
      <c r="L592" s="22"/>
      <c r="M592" s="22"/>
    </row>
    <row r="593" spans="11:13" ht="14.25" customHeight="1" x14ac:dyDescent="0.25">
      <c r="K593" s="22"/>
      <c r="L593" s="22"/>
      <c r="M593" s="22"/>
    </row>
    <row r="594" spans="11:13" ht="14.25" customHeight="1" x14ac:dyDescent="0.25">
      <c r="K594" s="22"/>
      <c r="L594" s="22"/>
      <c r="M594" s="22"/>
    </row>
    <row r="595" spans="11:13" ht="14.25" customHeight="1" x14ac:dyDescent="0.25">
      <c r="K595" s="22"/>
      <c r="L595" s="22"/>
      <c r="M595" s="22"/>
    </row>
    <row r="596" spans="11:13" ht="14.25" customHeight="1" x14ac:dyDescent="0.25">
      <c r="K596" s="22"/>
      <c r="L596" s="22"/>
      <c r="M596" s="22"/>
    </row>
    <row r="597" spans="11:13" ht="14.25" customHeight="1" x14ac:dyDescent="0.25">
      <c r="K597" s="22"/>
      <c r="L597" s="22"/>
      <c r="M597" s="22"/>
    </row>
    <row r="598" spans="11:13" ht="14.25" customHeight="1" x14ac:dyDescent="0.25">
      <c r="K598" s="22"/>
      <c r="L598" s="22"/>
      <c r="M598" s="22"/>
    </row>
    <row r="599" spans="11:13" ht="14.25" customHeight="1" x14ac:dyDescent="0.25">
      <c r="K599" s="22"/>
      <c r="L599" s="22"/>
      <c r="M599" s="22"/>
    </row>
    <row r="600" spans="11:13" ht="14.25" customHeight="1" x14ac:dyDescent="0.25">
      <c r="K600" s="22"/>
      <c r="L600" s="22"/>
      <c r="M600" s="22"/>
    </row>
    <row r="601" spans="11:13" ht="14.25" customHeight="1" x14ac:dyDescent="0.25">
      <c r="K601" s="22"/>
      <c r="L601" s="22"/>
      <c r="M601" s="22"/>
    </row>
    <row r="602" spans="11:13" ht="14.25" customHeight="1" x14ac:dyDescent="0.25">
      <c r="K602" s="22"/>
      <c r="L602" s="22"/>
      <c r="M602" s="22"/>
    </row>
    <row r="603" spans="11:13" ht="14.25" customHeight="1" x14ac:dyDescent="0.25">
      <c r="K603" s="22"/>
      <c r="L603" s="22"/>
      <c r="M603" s="22"/>
    </row>
    <row r="604" spans="11:13" ht="14.25" customHeight="1" x14ac:dyDescent="0.25">
      <c r="K604" s="22"/>
      <c r="L604" s="22"/>
      <c r="M604" s="22"/>
    </row>
    <row r="605" spans="11:13" ht="14.25" customHeight="1" x14ac:dyDescent="0.25">
      <c r="K605" s="22"/>
      <c r="L605" s="22"/>
      <c r="M605" s="22"/>
    </row>
    <row r="606" spans="11:13" ht="14.25" customHeight="1" x14ac:dyDescent="0.25">
      <c r="K606" s="22"/>
      <c r="L606" s="22"/>
      <c r="M606" s="22"/>
    </row>
    <row r="607" spans="11:13" ht="14.25" customHeight="1" x14ac:dyDescent="0.25">
      <c r="K607" s="22"/>
      <c r="L607" s="22"/>
      <c r="M607" s="22"/>
    </row>
    <row r="608" spans="11:13" ht="14.25" customHeight="1" x14ac:dyDescent="0.25">
      <c r="K608" s="22"/>
      <c r="L608" s="22"/>
      <c r="M608" s="22"/>
    </row>
    <row r="609" spans="11:13" ht="14.25" customHeight="1" x14ac:dyDescent="0.25">
      <c r="K609" s="22"/>
      <c r="L609" s="22"/>
      <c r="M609" s="22"/>
    </row>
    <row r="610" spans="11:13" ht="14.25" customHeight="1" x14ac:dyDescent="0.25">
      <c r="K610" s="22"/>
      <c r="L610" s="22"/>
      <c r="M610" s="22"/>
    </row>
    <row r="611" spans="11:13" ht="14.25" customHeight="1" x14ac:dyDescent="0.25">
      <c r="K611" s="22"/>
      <c r="L611" s="22"/>
      <c r="M611" s="22"/>
    </row>
    <row r="612" spans="11:13" ht="14.25" customHeight="1" x14ac:dyDescent="0.25">
      <c r="K612" s="22"/>
      <c r="L612" s="22"/>
      <c r="M612" s="22"/>
    </row>
    <row r="613" spans="11:13" ht="14.25" customHeight="1" x14ac:dyDescent="0.25">
      <c r="K613" s="22"/>
      <c r="L613" s="22"/>
      <c r="M613" s="22"/>
    </row>
    <row r="614" spans="11:13" ht="14.25" customHeight="1" x14ac:dyDescent="0.25">
      <c r="K614" s="22"/>
      <c r="L614" s="22"/>
      <c r="M614" s="22"/>
    </row>
    <row r="615" spans="11:13" ht="14.25" customHeight="1" x14ac:dyDescent="0.25">
      <c r="K615" s="22"/>
      <c r="L615" s="22"/>
      <c r="M615" s="22"/>
    </row>
    <row r="616" spans="11:13" ht="14.25" customHeight="1" x14ac:dyDescent="0.25">
      <c r="K616" s="22"/>
      <c r="L616" s="22"/>
      <c r="M616" s="22"/>
    </row>
    <row r="617" spans="11:13" ht="14.25" customHeight="1" x14ac:dyDescent="0.25">
      <c r="K617" s="22"/>
      <c r="L617" s="22"/>
      <c r="M617" s="22"/>
    </row>
    <row r="618" spans="11:13" ht="14.25" customHeight="1" x14ac:dyDescent="0.25">
      <c r="K618" s="22"/>
      <c r="L618" s="22"/>
      <c r="M618" s="22"/>
    </row>
    <row r="619" spans="11:13" ht="14.25" customHeight="1" x14ac:dyDescent="0.25">
      <c r="K619" s="22"/>
      <c r="L619" s="22"/>
      <c r="M619" s="22"/>
    </row>
    <row r="620" spans="11:13" ht="14.25" customHeight="1" x14ac:dyDescent="0.25">
      <c r="K620" s="22"/>
      <c r="L620" s="22"/>
      <c r="M620" s="22"/>
    </row>
    <row r="621" spans="11:13" ht="14.25" customHeight="1" x14ac:dyDescent="0.25">
      <c r="K621" s="22"/>
      <c r="L621" s="22"/>
      <c r="M621" s="22"/>
    </row>
    <row r="622" spans="11:13" ht="14.25" customHeight="1" x14ac:dyDescent="0.25">
      <c r="K622" s="22"/>
      <c r="L622" s="22"/>
      <c r="M622" s="22"/>
    </row>
    <row r="623" spans="11:13" ht="14.25" customHeight="1" x14ac:dyDescent="0.25">
      <c r="K623" s="22"/>
      <c r="L623" s="22"/>
      <c r="M623" s="22"/>
    </row>
    <row r="624" spans="11:13" ht="14.25" customHeight="1" x14ac:dyDescent="0.25">
      <c r="K624" s="22"/>
      <c r="L624" s="22"/>
      <c r="M624" s="22"/>
    </row>
    <row r="625" spans="11:13" ht="14.25" customHeight="1" x14ac:dyDescent="0.25">
      <c r="K625" s="22"/>
      <c r="L625" s="22"/>
      <c r="M625" s="22"/>
    </row>
    <row r="626" spans="11:13" ht="14.25" customHeight="1" x14ac:dyDescent="0.25">
      <c r="K626" s="22"/>
      <c r="L626" s="22"/>
      <c r="M626" s="22"/>
    </row>
    <row r="627" spans="11:13" ht="14.25" customHeight="1" x14ac:dyDescent="0.25">
      <c r="K627" s="22"/>
      <c r="L627" s="22"/>
      <c r="M627" s="22"/>
    </row>
    <row r="628" spans="11:13" ht="14.25" customHeight="1" x14ac:dyDescent="0.25">
      <c r="K628" s="22"/>
      <c r="L628" s="22"/>
      <c r="M628" s="22"/>
    </row>
    <row r="629" spans="11:13" ht="14.25" customHeight="1" x14ac:dyDescent="0.25">
      <c r="K629" s="22"/>
      <c r="L629" s="22"/>
      <c r="M629" s="22"/>
    </row>
    <row r="630" spans="11:13" ht="14.25" customHeight="1" x14ac:dyDescent="0.25">
      <c r="K630" s="22"/>
      <c r="L630" s="22"/>
      <c r="M630" s="22"/>
    </row>
    <row r="631" spans="11:13" ht="14.25" customHeight="1" x14ac:dyDescent="0.25">
      <c r="K631" s="22"/>
      <c r="L631" s="22"/>
      <c r="M631" s="22"/>
    </row>
    <row r="632" spans="11:13" ht="14.25" customHeight="1" x14ac:dyDescent="0.25">
      <c r="K632" s="22"/>
      <c r="L632" s="22"/>
      <c r="M632" s="22"/>
    </row>
    <row r="633" spans="11:13" ht="14.25" customHeight="1" x14ac:dyDescent="0.25">
      <c r="K633" s="22"/>
      <c r="L633" s="22"/>
      <c r="M633" s="22"/>
    </row>
    <row r="634" spans="11:13" ht="14.25" customHeight="1" x14ac:dyDescent="0.25">
      <c r="K634" s="22"/>
      <c r="L634" s="22"/>
      <c r="M634" s="22"/>
    </row>
    <row r="635" spans="11:13" ht="14.25" customHeight="1" x14ac:dyDescent="0.25">
      <c r="K635" s="22"/>
      <c r="L635" s="22"/>
      <c r="M635" s="22"/>
    </row>
    <row r="636" spans="11:13" ht="14.25" customHeight="1" x14ac:dyDescent="0.25">
      <c r="K636" s="22"/>
      <c r="L636" s="22"/>
      <c r="M636" s="22"/>
    </row>
    <row r="637" spans="11:13" ht="14.25" customHeight="1" x14ac:dyDescent="0.25">
      <c r="K637" s="22"/>
      <c r="L637" s="22"/>
      <c r="M637" s="22"/>
    </row>
    <row r="638" spans="11:13" ht="14.25" customHeight="1" x14ac:dyDescent="0.25">
      <c r="K638" s="22"/>
      <c r="L638" s="22"/>
      <c r="M638" s="22"/>
    </row>
    <row r="639" spans="11:13" ht="14.25" customHeight="1" x14ac:dyDescent="0.25">
      <c r="K639" s="22"/>
      <c r="L639" s="22"/>
      <c r="M639" s="22"/>
    </row>
    <row r="640" spans="11:13" ht="14.25" customHeight="1" x14ac:dyDescent="0.25">
      <c r="K640" s="22"/>
      <c r="L640" s="22"/>
      <c r="M640" s="22"/>
    </row>
    <row r="641" spans="11:13" ht="14.25" customHeight="1" x14ac:dyDescent="0.25">
      <c r="K641" s="22"/>
      <c r="L641" s="22"/>
      <c r="M641" s="22"/>
    </row>
    <row r="642" spans="11:13" ht="14.25" customHeight="1" x14ac:dyDescent="0.25">
      <c r="K642" s="22"/>
      <c r="L642" s="22"/>
      <c r="M642" s="22"/>
    </row>
    <row r="643" spans="11:13" ht="14.25" customHeight="1" x14ac:dyDescent="0.25">
      <c r="K643" s="22"/>
      <c r="L643" s="22"/>
      <c r="M643" s="22"/>
    </row>
    <row r="644" spans="11:13" ht="14.25" customHeight="1" x14ac:dyDescent="0.25">
      <c r="K644" s="22"/>
      <c r="L644" s="22"/>
      <c r="M644" s="22"/>
    </row>
    <row r="645" spans="11:13" ht="14.25" customHeight="1" x14ac:dyDescent="0.25">
      <c r="K645" s="22"/>
      <c r="L645" s="22"/>
      <c r="M645" s="22"/>
    </row>
    <row r="646" spans="11:13" ht="14.25" customHeight="1" x14ac:dyDescent="0.25">
      <c r="K646" s="22"/>
      <c r="L646" s="22"/>
      <c r="M646" s="22"/>
    </row>
    <row r="647" spans="11:13" ht="14.25" customHeight="1" x14ac:dyDescent="0.25">
      <c r="K647" s="22"/>
      <c r="L647" s="22"/>
      <c r="M647" s="22"/>
    </row>
    <row r="648" spans="11:13" ht="14.25" customHeight="1" x14ac:dyDescent="0.25">
      <c r="K648" s="22"/>
      <c r="L648" s="22"/>
      <c r="M648" s="22"/>
    </row>
    <row r="649" spans="11:13" ht="14.25" customHeight="1" x14ac:dyDescent="0.25">
      <c r="K649" s="22"/>
      <c r="L649" s="22"/>
      <c r="M649" s="22"/>
    </row>
    <row r="650" spans="11:13" ht="14.25" customHeight="1" x14ac:dyDescent="0.25">
      <c r="K650" s="22"/>
      <c r="L650" s="22"/>
      <c r="M650" s="22"/>
    </row>
    <row r="651" spans="11:13" ht="14.25" customHeight="1" x14ac:dyDescent="0.25">
      <c r="K651" s="22"/>
      <c r="L651" s="22"/>
      <c r="M651" s="22"/>
    </row>
    <row r="652" spans="11:13" ht="14.25" customHeight="1" x14ac:dyDescent="0.25">
      <c r="K652" s="22"/>
      <c r="L652" s="22"/>
      <c r="M652" s="22"/>
    </row>
    <row r="653" spans="11:13" ht="14.25" customHeight="1" x14ac:dyDescent="0.25">
      <c r="K653" s="22"/>
      <c r="L653" s="22"/>
      <c r="M653" s="22"/>
    </row>
    <row r="654" spans="11:13" ht="14.25" customHeight="1" x14ac:dyDescent="0.25">
      <c r="K654" s="22"/>
      <c r="L654" s="22"/>
      <c r="M654" s="22"/>
    </row>
    <row r="655" spans="11:13" ht="14.25" customHeight="1" x14ac:dyDescent="0.25">
      <c r="K655" s="22"/>
      <c r="L655" s="22"/>
      <c r="M655" s="22"/>
    </row>
    <row r="656" spans="11:13" ht="14.25" customHeight="1" x14ac:dyDescent="0.25">
      <c r="K656" s="22"/>
      <c r="L656" s="22"/>
      <c r="M656" s="22"/>
    </row>
    <row r="657" spans="11:13" ht="14.25" customHeight="1" x14ac:dyDescent="0.25">
      <c r="K657" s="22"/>
      <c r="L657" s="22"/>
      <c r="M657" s="22"/>
    </row>
    <row r="658" spans="11:13" ht="14.25" customHeight="1" x14ac:dyDescent="0.25">
      <c r="K658" s="22"/>
      <c r="L658" s="22"/>
      <c r="M658" s="22"/>
    </row>
    <row r="659" spans="11:13" ht="14.25" customHeight="1" x14ac:dyDescent="0.25">
      <c r="K659" s="22"/>
      <c r="L659" s="22"/>
      <c r="M659" s="22"/>
    </row>
    <row r="660" spans="11:13" ht="14.25" customHeight="1" x14ac:dyDescent="0.25">
      <c r="K660" s="22"/>
      <c r="L660" s="22"/>
      <c r="M660" s="22"/>
    </row>
    <row r="661" spans="11:13" ht="14.25" customHeight="1" x14ac:dyDescent="0.25">
      <c r="K661" s="22"/>
      <c r="L661" s="22"/>
      <c r="M661" s="22"/>
    </row>
    <row r="662" spans="11:13" ht="14.25" customHeight="1" x14ac:dyDescent="0.25">
      <c r="K662" s="22"/>
      <c r="L662" s="22"/>
      <c r="M662" s="22"/>
    </row>
    <row r="663" spans="11:13" ht="14.25" customHeight="1" x14ac:dyDescent="0.25">
      <c r="K663" s="22"/>
      <c r="L663" s="22"/>
      <c r="M663" s="22"/>
    </row>
    <row r="664" spans="11:13" ht="14.25" customHeight="1" x14ac:dyDescent="0.25">
      <c r="K664" s="22"/>
      <c r="L664" s="22"/>
      <c r="M664" s="22"/>
    </row>
    <row r="665" spans="11:13" ht="14.25" customHeight="1" x14ac:dyDescent="0.25">
      <c r="K665" s="22"/>
      <c r="L665" s="22"/>
      <c r="M665" s="22"/>
    </row>
    <row r="666" spans="11:13" ht="14.25" customHeight="1" x14ac:dyDescent="0.25">
      <c r="K666" s="22"/>
      <c r="L666" s="22"/>
      <c r="M666" s="22"/>
    </row>
    <row r="667" spans="11:13" ht="14.25" customHeight="1" x14ac:dyDescent="0.25">
      <c r="K667" s="22"/>
      <c r="L667" s="22"/>
      <c r="M667" s="22"/>
    </row>
    <row r="668" spans="11:13" ht="14.25" customHeight="1" x14ac:dyDescent="0.25">
      <c r="K668" s="22"/>
      <c r="L668" s="22"/>
      <c r="M668" s="22"/>
    </row>
    <row r="669" spans="11:13" ht="14.25" customHeight="1" x14ac:dyDescent="0.25">
      <c r="K669" s="22"/>
      <c r="L669" s="22"/>
      <c r="M669" s="22"/>
    </row>
    <row r="670" spans="11:13" ht="14.25" customHeight="1" x14ac:dyDescent="0.25">
      <c r="K670" s="22"/>
      <c r="L670" s="22"/>
      <c r="M670" s="22"/>
    </row>
    <row r="671" spans="11:13" ht="14.25" customHeight="1" x14ac:dyDescent="0.25">
      <c r="K671" s="22"/>
      <c r="L671" s="22"/>
      <c r="M671" s="22"/>
    </row>
    <row r="672" spans="11:13" ht="14.25" customHeight="1" x14ac:dyDescent="0.25">
      <c r="K672" s="22"/>
      <c r="L672" s="22"/>
      <c r="M672" s="22"/>
    </row>
    <row r="673" spans="11:13" ht="14.25" customHeight="1" x14ac:dyDescent="0.25">
      <c r="K673" s="22"/>
      <c r="L673" s="22"/>
      <c r="M673" s="22"/>
    </row>
    <row r="674" spans="11:13" ht="14.25" customHeight="1" x14ac:dyDescent="0.25">
      <c r="K674" s="22"/>
      <c r="L674" s="22"/>
      <c r="M674" s="22"/>
    </row>
    <row r="675" spans="11:13" ht="14.25" customHeight="1" x14ac:dyDescent="0.25">
      <c r="K675" s="22"/>
      <c r="L675" s="22"/>
      <c r="M675" s="22"/>
    </row>
    <row r="676" spans="11:13" ht="14.25" customHeight="1" x14ac:dyDescent="0.25">
      <c r="K676" s="22"/>
      <c r="L676" s="22"/>
      <c r="M676" s="22"/>
    </row>
    <row r="677" spans="11:13" ht="14.25" customHeight="1" x14ac:dyDescent="0.25">
      <c r="K677" s="22"/>
      <c r="L677" s="22"/>
      <c r="M677" s="22"/>
    </row>
    <row r="678" spans="11:13" ht="14.25" customHeight="1" x14ac:dyDescent="0.25">
      <c r="K678" s="22"/>
      <c r="L678" s="22"/>
      <c r="M678" s="22"/>
    </row>
    <row r="679" spans="11:13" ht="14.25" customHeight="1" x14ac:dyDescent="0.25">
      <c r="K679" s="22"/>
      <c r="L679" s="22"/>
      <c r="M679" s="22"/>
    </row>
    <row r="680" spans="11:13" ht="14.25" customHeight="1" x14ac:dyDescent="0.25">
      <c r="K680" s="22"/>
      <c r="L680" s="22"/>
      <c r="M680" s="22"/>
    </row>
    <row r="681" spans="11:13" ht="14.25" customHeight="1" x14ac:dyDescent="0.25">
      <c r="K681" s="22"/>
      <c r="L681" s="22"/>
      <c r="M681" s="22"/>
    </row>
    <row r="682" spans="11:13" ht="14.25" customHeight="1" x14ac:dyDescent="0.25">
      <c r="K682" s="22"/>
      <c r="L682" s="22"/>
      <c r="M682" s="22"/>
    </row>
    <row r="683" spans="11:13" ht="14.25" customHeight="1" x14ac:dyDescent="0.25">
      <c r="K683" s="22"/>
      <c r="L683" s="22"/>
      <c r="M683" s="22"/>
    </row>
    <row r="684" spans="11:13" ht="14.25" customHeight="1" x14ac:dyDescent="0.25">
      <c r="K684" s="22"/>
      <c r="L684" s="22"/>
      <c r="M684" s="22"/>
    </row>
    <row r="685" spans="11:13" ht="14.25" customHeight="1" x14ac:dyDescent="0.25">
      <c r="K685" s="22"/>
      <c r="L685" s="22"/>
      <c r="M685" s="22"/>
    </row>
    <row r="686" spans="11:13" ht="14.25" customHeight="1" x14ac:dyDescent="0.25">
      <c r="K686" s="22"/>
      <c r="L686" s="22"/>
      <c r="M686" s="22"/>
    </row>
    <row r="687" spans="11:13" ht="14.25" customHeight="1" x14ac:dyDescent="0.25">
      <c r="K687" s="22"/>
      <c r="L687" s="22"/>
      <c r="M687" s="22"/>
    </row>
    <row r="688" spans="11:13" ht="14.25" customHeight="1" x14ac:dyDescent="0.25">
      <c r="K688" s="22"/>
      <c r="L688" s="22"/>
      <c r="M688" s="22"/>
    </row>
    <row r="689" spans="11:13" ht="14.25" customHeight="1" x14ac:dyDescent="0.25">
      <c r="K689" s="22"/>
      <c r="L689" s="22"/>
      <c r="M689" s="22"/>
    </row>
    <row r="690" spans="11:13" ht="14.25" customHeight="1" x14ac:dyDescent="0.25">
      <c r="K690" s="22"/>
      <c r="L690" s="22"/>
      <c r="M690" s="22"/>
    </row>
    <row r="691" spans="11:13" ht="14.25" customHeight="1" x14ac:dyDescent="0.25">
      <c r="K691" s="22"/>
      <c r="L691" s="22"/>
      <c r="M691" s="22"/>
    </row>
    <row r="692" spans="11:13" ht="14.25" customHeight="1" x14ac:dyDescent="0.25">
      <c r="K692" s="22"/>
      <c r="L692" s="22"/>
      <c r="M692" s="22"/>
    </row>
    <row r="693" spans="11:13" ht="14.25" customHeight="1" x14ac:dyDescent="0.25">
      <c r="K693" s="22"/>
      <c r="L693" s="22"/>
      <c r="M693" s="22"/>
    </row>
    <row r="694" spans="11:13" ht="14.25" customHeight="1" x14ac:dyDescent="0.25">
      <c r="K694" s="22"/>
      <c r="L694" s="22"/>
      <c r="M694" s="22"/>
    </row>
    <row r="695" spans="11:13" ht="14.25" customHeight="1" x14ac:dyDescent="0.25">
      <c r="K695" s="22"/>
      <c r="L695" s="22"/>
      <c r="M695" s="22"/>
    </row>
    <row r="696" spans="11:13" ht="14.25" customHeight="1" x14ac:dyDescent="0.25">
      <c r="K696" s="22"/>
      <c r="L696" s="22"/>
      <c r="M696" s="22"/>
    </row>
    <row r="697" spans="11:13" ht="14.25" customHeight="1" x14ac:dyDescent="0.25">
      <c r="K697" s="22"/>
      <c r="L697" s="22"/>
      <c r="M697" s="22"/>
    </row>
    <row r="698" spans="11:13" ht="14.25" customHeight="1" x14ac:dyDescent="0.25">
      <c r="K698" s="22"/>
      <c r="L698" s="22"/>
      <c r="M698" s="22"/>
    </row>
    <row r="699" spans="11:13" ht="14.25" customHeight="1" x14ac:dyDescent="0.25">
      <c r="K699" s="22"/>
      <c r="L699" s="22"/>
      <c r="M699" s="22"/>
    </row>
    <row r="700" spans="11:13" ht="14.25" customHeight="1" x14ac:dyDescent="0.25">
      <c r="K700" s="22"/>
      <c r="L700" s="22"/>
      <c r="M700" s="22"/>
    </row>
    <row r="701" spans="11:13" ht="14.25" customHeight="1" x14ac:dyDescent="0.25">
      <c r="K701" s="22"/>
      <c r="L701" s="22"/>
      <c r="M701" s="22"/>
    </row>
    <row r="702" spans="11:13" ht="14.25" customHeight="1" x14ac:dyDescent="0.25">
      <c r="K702" s="22"/>
      <c r="L702" s="22"/>
      <c r="M702" s="22"/>
    </row>
    <row r="703" spans="11:13" ht="14.25" customHeight="1" x14ac:dyDescent="0.25">
      <c r="K703" s="22"/>
      <c r="L703" s="22"/>
      <c r="M703" s="22"/>
    </row>
    <row r="704" spans="11:13" ht="14.25" customHeight="1" x14ac:dyDescent="0.25">
      <c r="K704" s="22"/>
      <c r="L704" s="22"/>
      <c r="M704" s="22"/>
    </row>
    <row r="705" spans="11:13" ht="14.25" customHeight="1" x14ac:dyDescent="0.25">
      <c r="K705" s="22"/>
      <c r="L705" s="22"/>
      <c r="M705" s="22"/>
    </row>
    <row r="706" spans="11:13" ht="14.25" customHeight="1" x14ac:dyDescent="0.25">
      <c r="K706" s="22"/>
      <c r="L706" s="22"/>
      <c r="M706" s="22"/>
    </row>
    <row r="707" spans="11:13" ht="14.25" customHeight="1" x14ac:dyDescent="0.25">
      <c r="K707" s="22"/>
      <c r="L707" s="22"/>
      <c r="M707" s="22"/>
    </row>
    <row r="708" spans="11:13" ht="14.25" customHeight="1" x14ac:dyDescent="0.25">
      <c r="K708" s="22"/>
      <c r="L708" s="22"/>
      <c r="M708" s="22"/>
    </row>
    <row r="709" spans="11:13" ht="14.25" customHeight="1" x14ac:dyDescent="0.25">
      <c r="K709" s="22"/>
      <c r="L709" s="22"/>
      <c r="M709" s="22"/>
    </row>
    <row r="710" spans="11:13" ht="14.25" customHeight="1" x14ac:dyDescent="0.25">
      <c r="K710" s="22"/>
      <c r="L710" s="22"/>
      <c r="M710" s="22"/>
    </row>
    <row r="711" spans="11:13" ht="14.25" customHeight="1" x14ac:dyDescent="0.25">
      <c r="K711" s="22"/>
      <c r="L711" s="22"/>
      <c r="M711" s="22"/>
    </row>
    <row r="712" spans="11:13" ht="14.25" customHeight="1" x14ac:dyDescent="0.25">
      <c r="K712" s="22"/>
      <c r="L712" s="22"/>
      <c r="M712" s="22"/>
    </row>
    <row r="713" spans="11:13" ht="14.25" customHeight="1" x14ac:dyDescent="0.25">
      <c r="K713" s="22"/>
      <c r="L713" s="22"/>
      <c r="M713" s="22"/>
    </row>
    <row r="714" spans="11:13" ht="14.25" customHeight="1" x14ac:dyDescent="0.25">
      <c r="K714" s="22"/>
      <c r="L714" s="22"/>
      <c r="M714" s="22"/>
    </row>
    <row r="715" spans="11:13" ht="14.25" customHeight="1" x14ac:dyDescent="0.25">
      <c r="K715" s="22"/>
      <c r="L715" s="22"/>
      <c r="M715" s="22"/>
    </row>
    <row r="716" spans="11:13" ht="14.25" customHeight="1" x14ac:dyDescent="0.25">
      <c r="K716" s="22"/>
      <c r="L716" s="22"/>
      <c r="M716" s="22"/>
    </row>
    <row r="717" spans="11:13" ht="14.25" customHeight="1" x14ac:dyDescent="0.25">
      <c r="K717" s="22"/>
      <c r="L717" s="22"/>
      <c r="M717" s="22"/>
    </row>
    <row r="718" spans="11:13" ht="14.25" customHeight="1" x14ac:dyDescent="0.25">
      <c r="K718" s="22"/>
      <c r="L718" s="22"/>
      <c r="M718" s="22"/>
    </row>
    <row r="719" spans="11:13" ht="14.25" customHeight="1" x14ac:dyDescent="0.25">
      <c r="K719" s="22"/>
      <c r="L719" s="22"/>
      <c r="M719" s="22"/>
    </row>
    <row r="720" spans="11:13" ht="14.25" customHeight="1" x14ac:dyDescent="0.25">
      <c r="K720" s="22"/>
      <c r="L720" s="22"/>
      <c r="M720" s="22"/>
    </row>
    <row r="721" spans="11:13" ht="14.25" customHeight="1" x14ac:dyDescent="0.25">
      <c r="K721" s="22"/>
      <c r="L721" s="22"/>
      <c r="M721" s="22"/>
    </row>
    <row r="722" spans="11:13" ht="14.25" customHeight="1" x14ac:dyDescent="0.25">
      <c r="K722" s="22"/>
      <c r="L722" s="22"/>
      <c r="M722" s="22"/>
    </row>
    <row r="723" spans="11:13" ht="14.25" customHeight="1" x14ac:dyDescent="0.25">
      <c r="K723" s="22"/>
      <c r="L723" s="22"/>
      <c r="M723" s="22"/>
    </row>
    <row r="724" spans="11:13" ht="14.25" customHeight="1" x14ac:dyDescent="0.25">
      <c r="K724" s="22"/>
      <c r="L724" s="22"/>
      <c r="M724" s="22"/>
    </row>
    <row r="725" spans="11:13" ht="14.25" customHeight="1" x14ac:dyDescent="0.25">
      <c r="K725" s="22"/>
      <c r="L725" s="22"/>
      <c r="M725" s="22"/>
    </row>
    <row r="726" spans="11:13" ht="14.25" customHeight="1" x14ac:dyDescent="0.25">
      <c r="K726" s="22"/>
      <c r="L726" s="22"/>
      <c r="M726" s="22"/>
    </row>
    <row r="727" spans="11:13" ht="14.25" customHeight="1" x14ac:dyDescent="0.25">
      <c r="K727" s="22"/>
      <c r="L727" s="22"/>
      <c r="M727" s="22"/>
    </row>
    <row r="728" spans="11:13" ht="14.25" customHeight="1" x14ac:dyDescent="0.25">
      <c r="K728" s="22"/>
      <c r="L728" s="22"/>
      <c r="M728" s="22"/>
    </row>
    <row r="729" spans="11:13" ht="14.25" customHeight="1" x14ac:dyDescent="0.25">
      <c r="K729" s="22"/>
      <c r="L729" s="22"/>
      <c r="M729" s="22"/>
    </row>
    <row r="730" spans="11:13" ht="14.25" customHeight="1" x14ac:dyDescent="0.25">
      <c r="K730" s="22"/>
      <c r="L730" s="22"/>
      <c r="M730" s="22"/>
    </row>
    <row r="731" spans="11:13" ht="14.25" customHeight="1" x14ac:dyDescent="0.25">
      <c r="K731" s="22"/>
      <c r="L731" s="22"/>
      <c r="M731" s="22"/>
    </row>
    <row r="732" spans="11:13" ht="14.25" customHeight="1" x14ac:dyDescent="0.25">
      <c r="K732" s="22"/>
      <c r="L732" s="22"/>
      <c r="M732" s="22"/>
    </row>
    <row r="733" spans="11:13" ht="14.25" customHeight="1" x14ac:dyDescent="0.25">
      <c r="K733" s="22"/>
      <c r="L733" s="22"/>
      <c r="M733" s="22"/>
    </row>
    <row r="734" spans="11:13" ht="14.25" customHeight="1" x14ac:dyDescent="0.25">
      <c r="K734" s="22"/>
      <c r="L734" s="22"/>
      <c r="M734" s="22"/>
    </row>
    <row r="735" spans="11:13" ht="14.25" customHeight="1" x14ac:dyDescent="0.25">
      <c r="K735" s="22"/>
      <c r="L735" s="22"/>
      <c r="M735" s="22"/>
    </row>
    <row r="736" spans="11:13" ht="14.25" customHeight="1" x14ac:dyDescent="0.25">
      <c r="K736" s="22"/>
      <c r="L736" s="22"/>
      <c r="M736" s="22"/>
    </row>
    <row r="737" spans="11:13" ht="14.25" customHeight="1" x14ac:dyDescent="0.25">
      <c r="K737" s="22"/>
      <c r="L737" s="22"/>
      <c r="M737" s="22"/>
    </row>
    <row r="738" spans="11:13" ht="14.25" customHeight="1" x14ac:dyDescent="0.25">
      <c r="K738" s="22"/>
      <c r="L738" s="22"/>
      <c r="M738" s="22"/>
    </row>
    <row r="739" spans="11:13" ht="14.25" customHeight="1" x14ac:dyDescent="0.25">
      <c r="K739" s="22"/>
      <c r="L739" s="22"/>
      <c r="M739" s="22"/>
    </row>
    <row r="740" spans="11:13" ht="14.25" customHeight="1" x14ac:dyDescent="0.25">
      <c r="K740" s="22"/>
      <c r="L740" s="22"/>
      <c r="M740" s="22"/>
    </row>
    <row r="741" spans="11:13" ht="14.25" customHeight="1" x14ac:dyDescent="0.25">
      <c r="K741" s="22"/>
      <c r="L741" s="22"/>
      <c r="M741" s="22"/>
    </row>
    <row r="742" spans="11:13" ht="14.25" customHeight="1" x14ac:dyDescent="0.25">
      <c r="K742" s="22"/>
      <c r="L742" s="22"/>
      <c r="M742" s="22"/>
    </row>
    <row r="743" spans="11:13" ht="14.25" customHeight="1" x14ac:dyDescent="0.25">
      <c r="K743" s="22"/>
      <c r="L743" s="22"/>
      <c r="M743" s="22"/>
    </row>
    <row r="744" spans="11:13" ht="14.25" customHeight="1" x14ac:dyDescent="0.25">
      <c r="K744" s="22"/>
      <c r="L744" s="22"/>
      <c r="M744" s="22"/>
    </row>
    <row r="745" spans="11:13" ht="14.25" customHeight="1" x14ac:dyDescent="0.25">
      <c r="K745" s="22"/>
      <c r="L745" s="22"/>
      <c r="M745" s="22"/>
    </row>
    <row r="746" spans="11:13" ht="14.25" customHeight="1" x14ac:dyDescent="0.25">
      <c r="K746" s="22"/>
      <c r="L746" s="22"/>
      <c r="M746" s="22"/>
    </row>
    <row r="747" spans="11:13" ht="14.25" customHeight="1" x14ac:dyDescent="0.25">
      <c r="K747" s="22"/>
      <c r="L747" s="22"/>
      <c r="M747" s="22"/>
    </row>
    <row r="748" spans="11:13" ht="14.25" customHeight="1" x14ac:dyDescent="0.25">
      <c r="K748" s="22"/>
      <c r="L748" s="22"/>
      <c r="M748" s="22"/>
    </row>
    <row r="749" spans="11:13" ht="14.25" customHeight="1" x14ac:dyDescent="0.25">
      <c r="K749" s="22"/>
      <c r="L749" s="22"/>
      <c r="M749" s="22"/>
    </row>
    <row r="750" spans="11:13" ht="14.25" customHeight="1" x14ac:dyDescent="0.25">
      <c r="K750" s="22"/>
      <c r="L750" s="22"/>
      <c r="M750" s="22"/>
    </row>
    <row r="751" spans="11:13" ht="14.25" customHeight="1" x14ac:dyDescent="0.25">
      <c r="K751" s="22"/>
      <c r="L751" s="22"/>
      <c r="M751" s="22"/>
    </row>
    <row r="752" spans="11:13" ht="14.25" customHeight="1" x14ac:dyDescent="0.25">
      <c r="K752" s="22"/>
      <c r="L752" s="22"/>
      <c r="M752" s="22"/>
    </row>
    <row r="753" spans="11:13" ht="14.25" customHeight="1" x14ac:dyDescent="0.25">
      <c r="K753" s="22"/>
      <c r="L753" s="22"/>
      <c r="M753" s="22"/>
    </row>
    <row r="754" spans="11:13" ht="14.25" customHeight="1" x14ac:dyDescent="0.25">
      <c r="K754" s="22"/>
      <c r="L754" s="22"/>
      <c r="M754" s="22"/>
    </row>
    <row r="755" spans="11:13" ht="14.25" customHeight="1" x14ac:dyDescent="0.25">
      <c r="K755" s="22"/>
      <c r="L755" s="22"/>
      <c r="M755" s="22"/>
    </row>
    <row r="756" spans="11:13" ht="14.25" customHeight="1" x14ac:dyDescent="0.25">
      <c r="K756" s="22"/>
      <c r="L756" s="22"/>
      <c r="M756" s="22"/>
    </row>
    <row r="757" spans="11:13" ht="14.25" customHeight="1" x14ac:dyDescent="0.25">
      <c r="K757" s="22"/>
      <c r="L757" s="22"/>
      <c r="M757" s="22"/>
    </row>
    <row r="758" spans="11:13" ht="14.25" customHeight="1" x14ac:dyDescent="0.25">
      <c r="K758" s="22"/>
      <c r="L758" s="22"/>
      <c r="M758" s="22"/>
    </row>
    <row r="759" spans="11:13" ht="14.25" customHeight="1" x14ac:dyDescent="0.25">
      <c r="K759" s="22"/>
      <c r="L759" s="22"/>
      <c r="M759" s="22"/>
    </row>
    <row r="760" spans="11:13" ht="14.25" customHeight="1" x14ac:dyDescent="0.25">
      <c r="K760" s="22"/>
      <c r="L760" s="22"/>
      <c r="M760" s="22"/>
    </row>
    <row r="761" spans="11:13" ht="14.25" customHeight="1" x14ac:dyDescent="0.25">
      <c r="K761" s="22"/>
      <c r="L761" s="22"/>
      <c r="M761" s="22"/>
    </row>
    <row r="762" spans="11:13" ht="14.25" customHeight="1" x14ac:dyDescent="0.25">
      <c r="K762" s="22"/>
      <c r="L762" s="22"/>
      <c r="M762" s="22"/>
    </row>
    <row r="763" spans="11:13" ht="14.25" customHeight="1" x14ac:dyDescent="0.25">
      <c r="K763" s="22"/>
      <c r="L763" s="22"/>
      <c r="M763" s="22"/>
    </row>
    <row r="764" spans="11:13" ht="14.25" customHeight="1" x14ac:dyDescent="0.25">
      <c r="K764" s="22"/>
      <c r="L764" s="22"/>
      <c r="M764" s="22"/>
    </row>
    <row r="765" spans="11:13" ht="14.25" customHeight="1" x14ac:dyDescent="0.25">
      <c r="K765" s="22"/>
      <c r="L765" s="22"/>
      <c r="M765" s="22"/>
    </row>
    <row r="766" spans="11:13" ht="14.25" customHeight="1" x14ac:dyDescent="0.25">
      <c r="K766" s="22"/>
      <c r="L766" s="22"/>
      <c r="M766" s="22"/>
    </row>
    <row r="767" spans="11:13" ht="14.25" customHeight="1" x14ac:dyDescent="0.25">
      <c r="K767" s="22"/>
      <c r="L767" s="22"/>
      <c r="M767" s="22"/>
    </row>
    <row r="768" spans="11:13" ht="14.25" customHeight="1" x14ac:dyDescent="0.25">
      <c r="K768" s="22"/>
      <c r="L768" s="22"/>
      <c r="M768" s="22"/>
    </row>
    <row r="769" spans="11:13" ht="14.25" customHeight="1" x14ac:dyDescent="0.25">
      <c r="K769" s="22"/>
      <c r="L769" s="22"/>
      <c r="M769" s="22"/>
    </row>
    <row r="770" spans="11:13" ht="14.25" customHeight="1" x14ac:dyDescent="0.25">
      <c r="K770" s="22"/>
      <c r="L770" s="22"/>
      <c r="M770" s="22"/>
    </row>
    <row r="771" spans="11:13" ht="14.25" customHeight="1" x14ac:dyDescent="0.25">
      <c r="K771" s="22"/>
      <c r="L771" s="22"/>
      <c r="M771" s="22"/>
    </row>
    <row r="772" spans="11:13" ht="14.25" customHeight="1" x14ac:dyDescent="0.25">
      <c r="K772" s="22"/>
      <c r="L772" s="22"/>
      <c r="M772" s="22"/>
    </row>
    <row r="773" spans="11:13" ht="14.25" customHeight="1" x14ac:dyDescent="0.25">
      <c r="K773" s="22"/>
      <c r="L773" s="22"/>
      <c r="M773" s="22"/>
    </row>
    <row r="774" spans="11:13" ht="14.25" customHeight="1" x14ac:dyDescent="0.25">
      <c r="K774" s="22"/>
      <c r="L774" s="22"/>
      <c r="M774" s="22"/>
    </row>
    <row r="775" spans="11:13" ht="14.25" customHeight="1" x14ac:dyDescent="0.25">
      <c r="K775" s="22"/>
      <c r="L775" s="22"/>
      <c r="M775" s="22"/>
    </row>
    <row r="776" spans="11:13" ht="14.25" customHeight="1" x14ac:dyDescent="0.25">
      <c r="K776" s="22"/>
      <c r="L776" s="22"/>
      <c r="M776" s="22"/>
    </row>
    <row r="777" spans="11:13" ht="14.25" customHeight="1" x14ac:dyDescent="0.25">
      <c r="K777" s="22"/>
      <c r="L777" s="22"/>
      <c r="M777" s="22"/>
    </row>
    <row r="778" spans="11:13" ht="14.25" customHeight="1" x14ac:dyDescent="0.25">
      <c r="K778" s="22"/>
      <c r="L778" s="22"/>
      <c r="M778" s="22"/>
    </row>
    <row r="779" spans="11:13" ht="14.25" customHeight="1" x14ac:dyDescent="0.25">
      <c r="K779" s="22"/>
      <c r="L779" s="22"/>
      <c r="M779" s="22"/>
    </row>
    <row r="780" spans="11:13" ht="14.25" customHeight="1" x14ac:dyDescent="0.25">
      <c r="K780" s="22"/>
      <c r="L780" s="22"/>
      <c r="M780" s="22"/>
    </row>
    <row r="781" spans="11:13" ht="14.25" customHeight="1" x14ac:dyDescent="0.25">
      <c r="K781" s="22"/>
      <c r="L781" s="22"/>
      <c r="M781" s="22"/>
    </row>
    <row r="782" spans="11:13" ht="14.25" customHeight="1" x14ac:dyDescent="0.25">
      <c r="K782" s="22"/>
      <c r="L782" s="22"/>
      <c r="M782" s="22"/>
    </row>
    <row r="783" spans="11:13" ht="14.25" customHeight="1" x14ac:dyDescent="0.25">
      <c r="K783" s="22"/>
      <c r="L783" s="22"/>
      <c r="M783" s="22"/>
    </row>
    <row r="784" spans="11:13" ht="14.25" customHeight="1" x14ac:dyDescent="0.25">
      <c r="K784" s="22"/>
      <c r="L784" s="22"/>
      <c r="M784" s="22"/>
    </row>
    <row r="785" spans="11:13" ht="14.25" customHeight="1" x14ac:dyDescent="0.25">
      <c r="K785" s="22"/>
      <c r="L785" s="22"/>
      <c r="M785" s="22"/>
    </row>
    <row r="786" spans="11:13" ht="14.25" customHeight="1" x14ac:dyDescent="0.25">
      <c r="K786" s="22"/>
      <c r="L786" s="22"/>
      <c r="M786" s="22"/>
    </row>
    <row r="787" spans="11:13" ht="14.25" customHeight="1" x14ac:dyDescent="0.25">
      <c r="K787" s="22"/>
      <c r="L787" s="22"/>
      <c r="M787" s="22"/>
    </row>
    <row r="788" spans="11:13" ht="14.25" customHeight="1" x14ac:dyDescent="0.25">
      <c r="K788" s="22"/>
      <c r="L788" s="22"/>
      <c r="M788" s="22"/>
    </row>
    <row r="789" spans="11:13" ht="14.25" customHeight="1" x14ac:dyDescent="0.25">
      <c r="K789" s="22"/>
      <c r="L789" s="22"/>
      <c r="M789" s="22"/>
    </row>
    <row r="790" spans="11:13" ht="14.25" customHeight="1" x14ac:dyDescent="0.25">
      <c r="K790" s="22"/>
      <c r="L790" s="22"/>
      <c r="M790" s="22"/>
    </row>
    <row r="791" spans="11:13" ht="14.25" customHeight="1" x14ac:dyDescent="0.25">
      <c r="K791" s="22"/>
      <c r="L791" s="22"/>
      <c r="M791" s="22"/>
    </row>
    <row r="792" spans="11:13" ht="14.25" customHeight="1" x14ac:dyDescent="0.25">
      <c r="K792" s="22"/>
      <c r="L792" s="22"/>
      <c r="M792" s="22"/>
    </row>
    <row r="793" spans="11:13" ht="14.25" customHeight="1" x14ac:dyDescent="0.25">
      <c r="K793" s="22"/>
      <c r="L793" s="22"/>
      <c r="M793" s="22"/>
    </row>
    <row r="794" spans="11:13" ht="14.25" customHeight="1" x14ac:dyDescent="0.25">
      <c r="K794" s="22"/>
      <c r="L794" s="22"/>
      <c r="M794" s="22"/>
    </row>
    <row r="795" spans="11:13" ht="14.25" customHeight="1" x14ac:dyDescent="0.25">
      <c r="K795" s="22"/>
      <c r="L795" s="22"/>
      <c r="M795" s="22"/>
    </row>
    <row r="796" spans="11:13" ht="14.25" customHeight="1" x14ac:dyDescent="0.25">
      <c r="K796" s="22"/>
      <c r="L796" s="22"/>
      <c r="M796" s="22"/>
    </row>
    <row r="797" spans="11:13" ht="14.25" customHeight="1" x14ac:dyDescent="0.25">
      <c r="K797" s="22"/>
      <c r="L797" s="22"/>
      <c r="M797" s="22"/>
    </row>
    <row r="798" spans="11:13" ht="14.25" customHeight="1" x14ac:dyDescent="0.25">
      <c r="K798" s="22"/>
      <c r="L798" s="22"/>
      <c r="M798" s="22"/>
    </row>
    <row r="799" spans="11:13" ht="14.25" customHeight="1" x14ac:dyDescent="0.25">
      <c r="K799" s="22"/>
      <c r="L799" s="22"/>
      <c r="M799" s="22"/>
    </row>
    <row r="800" spans="11:13" ht="14.25" customHeight="1" x14ac:dyDescent="0.25">
      <c r="K800" s="22"/>
      <c r="L800" s="22"/>
      <c r="M800" s="22"/>
    </row>
    <row r="801" spans="11:13" ht="14.25" customHeight="1" x14ac:dyDescent="0.25">
      <c r="K801" s="22"/>
      <c r="L801" s="22"/>
      <c r="M801" s="22"/>
    </row>
    <row r="802" spans="11:13" ht="14.25" customHeight="1" x14ac:dyDescent="0.25">
      <c r="K802" s="22"/>
      <c r="L802" s="22"/>
      <c r="M802" s="22"/>
    </row>
    <row r="803" spans="11:13" ht="14.25" customHeight="1" x14ac:dyDescent="0.25">
      <c r="K803" s="22"/>
      <c r="L803" s="22"/>
      <c r="M803" s="22"/>
    </row>
    <row r="804" spans="11:13" ht="14.25" customHeight="1" x14ac:dyDescent="0.25">
      <c r="K804" s="22"/>
      <c r="L804" s="22"/>
      <c r="M804" s="22"/>
    </row>
    <row r="805" spans="11:13" ht="14.25" customHeight="1" x14ac:dyDescent="0.25">
      <c r="K805" s="22"/>
      <c r="L805" s="22"/>
      <c r="M805" s="22"/>
    </row>
    <row r="806" spans="11:13" ht="14.25" customHeight="1" x14ac:dyDescent="0.25">
      <c r="K806" s="22"/>
      <c r="L806" s="22"/>
      <c r="M806" s="22"/>
    </row>
    <row r="807" spans="11:13" ht="14.25" customHeight="1" x14ac:dyDescent="0.25">
      <c r="K807" s="22"/>
      <c r="L807" s="22"/>
      <c r="M807" s="22"/>
    </row>
    <row r="808" spans="11:13" ht="14.25" customHeight="1" x14ac:dyDescent="0.25">
      <c r="K808" s="22"/>
      <c r="L808" s="22"/>
      <c r="M808" s="22"/>
    </row>
    <row r="809" spans="11:13" ht="14.25" customHeight="1" x14ac:dyDescent="0.25">
      <c r="K809" s="22"/>
      <c r="L809" s="22"/>
      <c r="M809" s="22"/>
    </row>
    <row r="810" spans="11:13" ht="14.25" customHeight="1" x14ac:dyDescent="0.25">
      <c r="K810" s="22"/>
      <c r="L810" s="22"/>
      <c r="M810" s="22"/>
    </row>
    <row r="811" spans="11:13" ht="14.25" customHeight="1" x14ac:dyDescent="0.25">
      <c r="K811" s="22"/>
      <c r="L811" s="22"/>
      <c r="M811" s="22"/>
    </row>
    <row r="812" spans="11:13" ht="14.25" customHeight="1" x14ac:dyDescent="0.25">
      <c r="K812" s="22"/>
      <c r="L812" s="22"/>
      <c r="M812" s="22"/>
    </row>
    <row r="813" spans="11:13" ht="14.25" customHeight="1" x14ac:dyDescent="0.25">
      <c r="K813" s="22"/>
      <c r="L813" s="22"/>
      <c r="M813" s="22"/>
    </row>
    <row r="814" spans="11:13" ht="14.25" customHeight="1" x14ac:dyDescent="0.25">
      <c r="K814" s="22"/>
      <c r="L814" s="22"/>
      <c r="M814" s="22"/>
    </row>
    <row r="815" spans="11:13" ht="14.25" customHeight="1" x14ac:dyDescent="0.25">
      <c r="K815" s="22"/>
      <c r="L815" s="22"/>
      <c r="M815" s="22"/>
    </row>
    <row r="816" spans="11:13" ht="14.25" customHeight="1" x14ac:dyDescent="0.25">
      <c r="K816" s="22"/>
      <c r="L816" s="22"/>
      <c r="M816" s="22"/>
    </row>
    <row r="817" spans="11:13" ht="14.25" customHeight="1" x14ac:dyDescent="0.25">
      <c r="K817" s="22"/>
      <c r="L817" s="22"/>
      <c r="M817" s="22"/>
    </row>
    <row r="818" spans="11:13" ht="14.25" customHeight="1" x14ac:dyDescent="0.25">
      <c r="K818" s="22"/>
      <c r="L818" s="22"/>
      <c r="M818" s="22"/>
    </row>
    <row r="819" spans="11:13" ht="14.25" customHeight="1" x14ac:dyDescent="0.25">
      <c r="K819" s="22"/>
      <c r="L819" s="22"/>
      <c r="M819" s="22"/>
    </row>
    <row r="820" spans="11:13" ht="14.25" customHeight="1" x14ac:dyDescent="0.25">
      <c r="K820" s="22"/>
      <c r="L820" s="22"/>
      <c r="M820" s="22"/>
    </row>
    <row r="821" spans="11:13" ht="14.25" customHeight="1" x14ac:dyDescent="0.25">
      <c r="K821" s="22"/>
      <c r="L821" s="22"/>
      <c r="M821" s="22"/>
    </row>
    <row r="822" spans="11:13" ht="14.25" customHeight="1" x14ac:dyDescent="0.25">
      <c r="K822" s="22"/>
      <c r="L822" s="22"/>
      <c r="M822" s="22"/>
    </row>
    <row r="823" spans="11:13" ht="14.25" customHeight="1" x14ac:dyDescent="0.25">
      <c r="K823" s="22"/>
      <c r="L823" s="22"/>
      <c r="M823" s="22"/>
    </row>
    <row r="824" spans="11:13" ht="14.25" customHeight="1" x14ac:dyDescent="0.25">
      <c r="K824" s="22"/>
      <c r="L824" s="22"/>
      <c r="M824" s="22"/>
    </row>
    <row r="825" spans="11:13" ht="14.25" customHeight="1" x14ac:dyDescent="0.25">
      <c r="K825" s="22"/>
      <c r="L825" s="22"/>
      <c r="M825" s="22"/>
    </row>
    <row r="826" spans="11:13" ht="14.25" customHeight="1" x14ac:dyDescent="0.25">
      <c r="K826" s="22"/>
      <c r="L826" s="22"/>
      <c r="M826" s="22"/>
    </row>
    <row r="827" spans="11:13" ht="14.25" customHeight="1" x14ac:dyDescent="0.25">
      <c r="K827" s="22"/>
      <c r="L827" s="22"/>
      <c r="M827" s="22"/>
    </row>
    <row r="828" spans="11:13" ht="14.25" customHeight="1" x14ac:dyDescent="0.25">
      <c r="K828" s="22"/>
      <c r="L828" s="22"/>
      <c r="M828" s="22"/>
    </row>
    <row r="829" spans="11:13" ht="14.25" customHeight="1" x14ac:dyDescent="0.25">
      <c r="K829" s="22"/>
      <c r="L829" s="22"/>
      <c r="M829" s="22"/>
    </row>
    <row r="830" spans="11:13" ht="14.25" customHeight="1" x14ac:dyDescent="0.25">
      <c r="K830" s="22"/>
      <c r="L830" s="22"/>
      <c r="M830" s="22"/>
    </row>
    <row r="831" spans="11:13" ht="14.25" customHeight="1" x14ac:dyDescent="0.25">
      <c r="K831" s="22"/>
      <c r="L831" s="22"/>
      <c r="M831" s="22"/>
    </row>
    <row r="832" spans="11:13" ht="14.25" customHeight="1" x14ac:dyDescent="0.25">
      <c r="K832" s="22"/>
      <c r="L832" s="22"/>
      <c r="M832" s="22"/>
    </row>
    <row r="833" spans="11:13" ht="14.25" customHeight="1" x14ac:dyDescent="0.25">
      <c r="K833" s="22"/>
      <c r="L833" s="22"/>
      <c r="M833" s="22"/>
    </row>
    <row r="834" spans="11:13" ht="14.25" customHeight="1" x14ac:dyDescent="0.25">
      <c r="K834" s="22"/>
      <c r="L834" s="22"/>
      <c r="M834" s="22"/>
    </row>
    <row r="835" spans="11:13" ht="14.25" customHeight="1" x14ac:dyDescent="0.25">
      <c r="K835" s="22"/>
      <c r="L835" s="22"/>
      <c r="M835" s="22"/>
    </row>
    <row r="836" spans="11:13" ht="14.25" customHeight="1" x14ac:dyDescent="0.25">
      <c r="K836" s="22"/>
      <c r="L836" s="22"/>
      <c r="M836" s="22"/>
    </row>
    <row r="837" spans="11:13" ht="14.25" customHeight="1" x14ac:dyDescent="0.25">
      <c r="K837" s="22"/>
      <c r="L837" s="22"/>
      <c r="M837" s="22"/>
    </row>
    <row r="838" spans="11:13" ht="14.25" customHeight="1" x14ac:dyDescent="0.25">
      <c r="K838" s="22"/>
      <c r="L838" s="22"/>
      <c r="M838" s="22"/>
    </row>
    <row r="839" spans="11:13" ht="14.25" customHeight="1" x14ac:dyDescent="0.25">
      <c r="K839" s="22"/>
      <c r="L839" s="22"/>
      <c r="M839" s="22"/>
    </row>
    <row r="840" spans="11:13" ht="14.25" customHeight="1" x14ac:dyDescent="0.25">
      <c r="K840" s="22"/>
      <c r="L840" s="22"/>
      <c r="M840" s="22"/>
    </row>
    <row r="841" spans="11:13" ht="14.25" customHeight="1" x14ac:dyDescent="0.25">
      <c r="K841" s="22"/>
      <c r="L841" s="22"/>
      <c r="M841" s="22"/>
    </row>
    <row r="842" spans="11:13" ht="14.25" customHeight="1" x14ac:dyDescent="0.25">
      <c r="K842" s="22"/>
      <c r="L842" s="22"/>
      <c r="M842" s="22"/>
    </row>
    <row r="843" spans="11:13" ht="14.25" customHeight="1" x14ac:dyDescent="0.25">
      <c r="K843" s="22"/>
      <c r="L843" s="22"/>
      <c r="M843" s="22"/>
    </row>
    <row r="844" spans="11:13" ht="14.25" customHeight="1" x14ac:dyDescent="0.25">
      <c r="K844" s="22"/>
      <c r="L844" s="22"/>
      <c r="M844" s="22"/>
    </row>
    <row r="845" spans="11:13" ht="14.25" customHeight="1" x14ac:dyDescent="0.25">
      <c r="K845" s="22"/>
      <c r="L845" s="22"/>
      <c r="M845" s="22"/>
    </row>
    <row r="846" spans="11:13" ht="14.25" customHeight="1" x14ac:dyDescent="0.25">
      <c r="K846" s="22"/>
      <c r="L846" s="22"/>
      <c r="M846" s="22"/>
    </row>
    <row r="847" spans="11:13" ht="14.25" customHeight="1" x14ac:dyDescent="0.25">
      <c r="K847" s="22"/>
      <c r="L847" s="22"/>
      <c r="M847" s="22"/>
    </row>
    <row r="848" spans="11:13" ht="14.25" customHeight="1" x14ac:dyDescent="0.25">
      <c r="K848" s="22"/>
      <c r="L848" s="22"/>
      <c r="M848" s="22"/>
    </row>
    <row r="849" spans="11:13" ht="14.25" customHeight="1" x14ac:dyDescent="0.25">
      <c r="K849" s="22"/>
      <c r="L849" s="22"/>
      <c r="M849" s="22"/>
    </row>
    <row r="850" spans="11:13" ht="14.25" customHeight="1" x14ac:dyDescent="0.25">
      <c r="K850" s="22"/>
      <c r="L850" s="22"/>
      <c r="M850" s="22"/>
    </row>
    <row r="851" spans="11:13" ht="14.25" customHeight="1" x14ac:dyDescent="0.25">
      <c r="K851" s="22"/>
      <c r="L851" s="22"/>
      <c r="M851" s="22"/>
    </row>
    <row r="852" spans="11:13" ht="14.25" customHeight="1" x14ac:dyDescent="0.25">
      <c r="K852" s="22"/>
      <c r="L852" s="22"/>
      <c r="M852" s="22"/>
    </row>
    <row r="853" spans="11:13" ht="14.25" customHeight="1" x14ac:dyDescent="0.25">
      <c r="K853" s="22"/>
      <c r="L853" s="22"/>
      <c r="M853" s="22"/>
    </row>
    <row r="854" spans="11:13" ht="14.25" customHeight="1" x14ac:dyDescent="0.25">
      <c r="K854" s="22"/>
      <c r="L854" s="22"/>
      <c r="M854" s="22"/>
    </row>
    <row r="855" spans="11:13" ht="14.25" customHeight="1" x14ac:dyDescent="0.25">
      <c r="K855" s="22"/>
      <c r="L855" s="22"/>
      <c r="M855" s="22"/>
    </row>
    <row r="856" spans="11:13" ht="14.25" customHeight="1" x14ac:dyDescent="0.25">
      <c r="K856" s="22"/>
      <c r="L856" s="22"/>
      <c r="M856" s="22"/>
    </row>
    <row r="857" spans="11:13" ht="14.25" customHeight="1" x14ac:dyDescent="0.25">
      <c r="K857" s="22"/>
      <c r="L857" s="22"/>
      <c r="M857" s="22"/>
    </row>
    <row r="858" spans="11:13" ht="14.25" customHeight="1" x14ac:dyDescent="0.25">
      <c r="K858" s="22"/>
      <c r="L858" s="22"/>
      <c r="M858" s="22"/>
    </row>
    <row r="859" spans="11:13" ht="14.25" customHeight="1" x14ac:dyDescent="0.25">
      <c r="K859" s="22"/>
      <c r="L859" s="22"/>
      <c r="M859" s="22"/>
    </row>
    <row r="860" spans="11:13" ht="14.25" customHeight="1" x14ac:dyDescent="0.25">
      <c r="K860" s="22"/>
      <c r="L860" s="22"/>
      <c r="M860" s="22"/>
    </row>
    <row r="861" spans="11:13" ht="14.25" customHeight="1" x14ac:dyDescent="0.25">
      <c r="K861" s="22"/>
      <c r="L861" s="22"/>
      <c r="M861" s="22"/>
    </row>
    <row r="862" spans="11:13" ht="14.25" customHeight="1" x14ac:dyDescent="0.25">
      <c r="K862" s="22"/>
      <c r="L862" s="22"/>
      <c r="M862" s="22"/>
    </row>
    <row r="863" spans="11:13" ht="14.25" customHeight="1" x14ac:dyDescent="0.25">
      <c r="K863" s="22"/>
      <c r="L863" s="22"/>
      <c r="M863" s="22"/>
    </row>
    <row r="864" spans="11:13" ht="14.25" customHeight="1" x14ac:dyDescent="0.25">
      <c r="K864" s="22"/>
      <c r="L864" s="22"/>
      <c r="M864" s="22"/>
    </row>
    <row r="865" spans="11:13" ht="14.25" customHeight="1" x14ac:dyDescent="0.25">
      <c r="K865" s="22"/>
      <c r="L865" s="22"/>
      <c r="M865" s="22"/>
    </row>
    <row r="866" spans="11:13" ht="14.25" customHeight="1" x14ac:dyDescent="0.25">
      <c r="K866" s="22"/>
      <c r="L866" s="22"/>
      <c r="M866" s="22"/>
    </row>
    <row r="867" spans="11:13" ht="14.25" customHeight="1" x14ac:dyDescent="0.25">
      <c r="K867" s="22"/>
      <c r="L867" s="22"/>
      <c r="M867" s="22"/>
    </row>
    <row r="868" spans="11:13" ht="14.25" customHeight="1" x14ac:dyDescent="0.25">
      <c r="K868" s="22"/>
      <c r="L868" s="22"/>
      <c r="M868" s="22"/>
    </row>
    <row r="869" spans="11:13" ht="14.25" customHeight="1" x14ac:dyDescent="0.25">
      <c r="K869" s="22"/>
      <c r="L869" s="22"/>
      <c r="M869" s="22"/>
    </row>
    <row r="870" spans="11:13" ht="14.25" customHeight="1" x14ac:dyDescent="0.25">
      <c r="K870" s="22"/>
      <c r="L870" s="22"/>
      <c r="M870" s="22"/>
    </row>
    <row r="871" spans="11:13" ht="14.25" customHeight="1" x14ac:dyDescent="0.25">
      <c r="K871" s="22"/>
      <c r="L871" s="22"/>
      <c r="M871" s="22"/>
    </row>
    <row r="872" spans="11:13" ht="14.25" customHeight="1" x14ac:dyDescent="0.25">
      <c r="K872" s="22"/>
      <c r="L872" s="22"/>
      <c r="M872" s="22"/>
    </row>
    <row r="873" spans="11:13" ht="14.25" customHeight="1" x14ac:dyDescent="0.25">
      <c r="K873" s="22"/>
      <c r="L873" s="22"/>
      <c r="M873" s="22"/>
    </row>
    <row r="874" spans="11:13" ht="14.25" customHeight="1" x14ac:dyDescent="0.25">
      <c r="K874" s="22"/>
      <c r="L874" s="22"/>
      <c r="M874" s="22"/>
    </row>
    <row r="875" spans="11:13" ht="14.25" customHeight="1" x14ac:dyDescent="0.25">
      <c r="K875" s="22"/>
      <c r="L875" s="22"/>
      <c r="M875" s="22"/>
    </row>
    <row r="876" spans="11:13" ht="14.25" customHeight="1" x14ac:dyDescent="0.25">
      <c r="K876" s="22"/>
      <c r="L876" s="22"/>
      <c r="M876" s="22"/>
    </row>
    <row r="877" spans="11:13" ht="14.25" customHeight="1" x14ac:dyDescent="0.25">
      <c r="K877" s="22"/>
      <c r="L877" s="22"/>
      <c r="M877" s="22"/>
    </row>
    <row r="878" spans="11:13" ht="14.25" customHeight="1" x14ac:dyDescent="0.25">
      <c r="K878" s="22"/>
      <c r="L878" s="22"/>
      <c r="M878" s="22"/>
    </row>
    <row r="879" spans="11:13" ht="14.25" customHeight="1" x14ac:dyDescent="0.25">
      <c r="K879" s="22"/>
      <c r="L879" s="22"/>
      <c r="M879" s="22"/>
    </row>
    <row r="880" spans="11:13" ht="14.25" customHeight="1" x14ac:dyDescent="0.25">
      <c r="K880" s="22"/>
      <c r="L880" s="22"/>
      <c r="M880" s="22"/>
    </row>
    <row r="881" spans="11:13" ht="14.25" customHeight="1" x14ac:dyDescent="0.25">
      <c r="K881" s="22"/>
      <c r="L881" s="22"/>
      <c r="M881" s="22"/>
    </row>
    <row r="882" spans="11:13" ht="14.25" customHeight="1" x14ac:dyDescent="0.25">
      <c r="K882" s="22"/>
      <c r="L882" s="22"/>
      <c r="M882" s="22"/>
    </row>
    <row r="883" spans="11:13" ht="14.25" customHeight="1" x14ac:dyDescent="0.25">
      <c r="K883" s="22"/>
      <c r="L883" s="22"/>
      <c r="M883" s="22"/>
    </row>
    <row r="884" spans="11:13" ht="14.25" customHeight="1" x14ac:dyDescent="0.25">
      <c r="K884" s="22"/>
      <c r="L884" s="22"/>
      <c r="M884" s="22"/>
    </row>
    <row r="885" spans="11:13" ht="14.25" customHeight="1" x14ac:dyDescent="0.25">
      <c r="K885" s="22"/>
      <c r="L885" s="22"/>
      <c r="M885" s="22"/>
    </row>
    <row r="886" spans="11:13" ht="14.25" customHeight="1" x14ac:dyDescent="0.25">
      <c r="K886" s="22"/>
      <c r="L886" s="22"/>
      <c r="M886" s="22"/>
    </row>
    <row r="887" spans="11:13" ht="14.25" customHeight="1" x14ac:dyDescent="0.25">
      <c r="K887" s="22"/>
      <c r="L887" s="22"/>
      <c r="M887" s="22"/>
    </row>
    <row r="888" spans="11:13" ht="14.25" customHeight="1" x14ac:dyDescent="0.25">
      <c r="K888" s="22"/>
      <c r="L888" s="22"/>
      <c r="M888" s="22"/>
    </row>
    <row r="889" spans="11:13" ht="14.25" customHeight="1" x14ac:dyDescent="0.25">
      <c r="K889" s="22"/>
      <c r="L889" s="22"/>
      <c r="M889" s="22"/>
    </row>
    <row r="890" spans="11:13" ht="14.25" customHeight="1" x14ac:dyDescent="0.25">
      <c r="K890" s="22"/>
      <c r="L890" s="22"/>
      <c r="M890" s="22"/>
    </row>
    <row r="891" spans="11:13" ht="14.25" customHeight="1" x14ac:dyDescent="0.25">
      <c r="K891" s="22"/>
      <c r="L891" s="22"/>
      <c r="M891" s="22"/>
    </row>
    <row r="892" spans="11:13" ht="14.25" customHeight="1" x14ac:dyDescent="0.25">
      <c r="K892" s="22"/>
      <c r="L892" s="22"/>
      <c r="M892" s="22"/>
    </row>
    <row r="893" spans="11:13" ht="14.25" customHeight="1" x14ac:dyDescent="0.25">
      <c r="K893" s="22"/>
      <c r="L893" s="22"/>
      <c r="M893" s="22"/>
    </row>
    <row r="894" spans="11:13" ht="14.25" customHeight="1" x14ac:dyDescent="0.25">
      <c r="K894" s="22"/>
      <c r="L894" s="22"/>
      <c r="M894" s="22"/>
    </row>
    <row r="895" spans="11:13" ht="14.25" customHeight="1" x14ac:dyDescent="0.25">
      <c r="K895" s="22"/>
      <c r="L895" s="22"/>
      <c r="M895" s="22"/>
    </row>
    <row r="896" spans="11:13" ht="14.25" customHeight="1" x14ac:dyDescent="0.25">
      <c r="K896" s="22"/>
      <c r="L896" s="22"/>
      <c r="M896" s="22"/>
    </row>
    <row r="897" spans="11:13" ht="14.25" customHeight="1" x14ac:dyDescent="0.25">
      <c r="K897" s="22"/>
      <c r="L897" s="22"/>
      <c r="M897" s="22"/>
    </row>
    <row r="898" spans="11:13" ht="14.25" customHeight="1" x14ac:dyDescent="0.25">
      <c r="K898" s="22"/>
      <c r="L898" s="22"/>
      <c r="M898" s="22"/>
    </row>
    <row r="899" spans="11:13" ht="14.25" customHeight="1" x14ac:dyDescent="0.25">
      <c r="K899" s="22"/>
      <c r="L899" s="22"/>
      <c r="M899" s="22"/>
    </row>
    <row r="900" spans="11:13" ht="14.25" customHeight="1" x14ac:dyDescent="0.25">
      <c r="K900" s="22"/>
      <c r="L900" s="22"/>
      <c r="M900" s="22"/>
    </row>
    <row r="901" spans="11:13" ht="14.25" customHeight="1" x14ac:dyDescent="0.25">
      <c r="K901" s="22"/>
      <c r="L901" s="22"/>
      <c r="M901" s="22"/>
    </row>
    <row r="902" spans="11:13" ht="14.25" customHeight="1" x14ac:dyDescent="0.25">
      <c r="K902" s="22"/>
      <c r="L902" s="22"/>
      <c r="M902" s="22"/>
    </row>
    <row r="903" spans="11:13" ht="14.25" customHeight="1" x14ac:dyDescent="0.25">
      <c r="K903" s="22"/>
      <c r="L903" s="22"/>
      <c r="M903" s="22"/>
    </row>
    <row r="904" spans="11:13" ht="14.25" customHeight="1" x14ac:dyDescent="0.25">
      <c r="K904" s="22"/>
      <c r="L904" s="22"/>
      <c r="M904" s="22"/>
    </row>
    <row r="905" spans="11:13" ht="14.25" customHeight="1" x14ac:dyDescent="0.25">
      <c r="K905" s="22"/>
      <c r="L905" s="22"/>
      <c r="M905" s="22"/>
    </row>
    <row r="906" spans="11:13" ht="14.25" customHeight="1" x14ac:dyDescent="0.25">
      <c r="K906" s="22"/>
      <c r="L906" s="22"/>
      <c r="M906" s="22"/>
    </row>
    <row r="907" spans="11:13" ht="14.25" customHeight="1" x14ac:dyDescent="0.25">
      <c r="K907" s="22"/>
      <c r="L907" s="22"/>
      <c r="M907" s="22"/>
    </row>
    <row r="908" spans="11:13" ht="14.25" customHeight="1" x14ac:dyDescent="0.25">
      <c r="K908" s="22"/>
      <c r="L908" s="22"/>
      <c r="M908" s="22"/>
    </row>
    <row r="909" spans="11:13" ht="14.25" customHeight="1" x14ac:dyDescent="0.25">
      <c r="K909" s="22"/>
      <c r="L909" s="22"/>
      <c r="M909" s="22"/>
    </row>
    <row r="910" spans="11:13" ht="14.25" customHeight="1" x14ac:dyDescent="0.25">
      <c r="K910" s="22"/>
      <c r="L910" s="22"/>
      <c r="M910" s="22"/>
    </row>
    <row r="911" spans="11:13" ht="14.25" customHeight="1" x14ac:dyDescent="0.25">
      <c r="K911" s="22"/>
      <c r="L911" s="22"/>
      <c r="M911" s="22"/>
    </row>
    <row r="912" spans="11:13" ht="14.25" customHeight="1" x14ac:dyDescent="0.25">
      <c r="K912" s="22"/>
      <c r="L912" s="22"/>
      <c r="M912" s="22"/>
    </row>
    <row r="913" spans="11:13" ht="14.25" customHeight="1" x14ac:dyDescent="0.25">
      <c r="K913" s="22"/>
      <c r="L913" s="22"/>
      <c r="M913" s="22"/>
    </row>
    <row r="914" spans="11:13" ht="14.25" customHeight="1" x14ac:dyDescent="0.25">
      <c r="K914" s="22"/>
      <c r="L914" s="22"/>
      <c r="M914" s="22"/>
    </row>
    <row r="915" spans="11:13" ht="14.25" customHeight="1" x14ac:dyDescent="0.25">
      <c r="K915" s="22"/>
      <c r="L915" s="22"/>
      <c r="M915" s="22"/>
    </row>
    <row r="916" spans="11:13" ht="14.25" customHeight="1" x14ac:dyDescent="0.25">
      <c r="K916" s="22"/>
      <c r="L916" s="22"/>
      <c r="M916" s="22"/>
    </row>
    <row r="917" spans="11:13" ht="14.25" customHeight="1" x14ac:dyDescent="0.25">
      <c r="K917" s="22"/>
      <c r="L917" s="22"/>
      <c r="M917" s="22"/>
    </row>
    <row r="918" spans="11:13" ht="14.25" customHeight="1" x14ac:dyDescent="0.25">
      <c r="K918" s="22"/>
      <c r="L918" s="22"/>
      <c r="M918" s="22"/>
    </row>
    <row r="919" spans="11:13" ht="14.25" customHeight="1" x14ac:dyDescent="0.25">
      <c r="K919" s="22"/>
      <c r="L919" s="22"/>
      <c r="M919" s="22"/>
    </row>
    <row r="920" spans="11:13" ht="14.25" customHeight="1" x14ac:dyDescent="0.25">
      <c r="K920" s="22"/>
      <c r="L920" s="22"/>
      <c r="M920" s="22"/>
    </row>
    <row r="921" spans="11:13" ht="14.25" customHeight="1" x14ac:dyDescent="0.25">
      <c r="K921" s="22"/>
      <c r="L921" s="22"/>
      <c r="M921" s="22"/>
    </row>
    <row r="922" spans="11:13" ht="14.25" customHeight="1" x14ac:dyDescent="0.25">
      <c r="K922" s="22"/>
      <c r="L922" s="22"/>
      <c r="M922" s="22"/>
    </row>
    <row r="923" spans="11:13" ht="14.25" customHeight="1" x14ac:dyDescent="0.25">
      <c r="K923" s="22"/>
      <c r="L923" s="22"/>
      <c r="M923" s="22"/>
    </row>
    <row r="924" spans="11:13" ht="14.25" customHeight="1" x14ac:dyDescent="0.25">
      <c r="K924" s="22"/>
      <c r="L924" s="22"/>
      <c r="M924" s="22"/>
    </row>
    <row r="925" spans="11:13" ht="14.25" customHeight="1" x14ac:dyDescent="0.25">
      <c r="K925" s="22"/>
      <c r="L925" s="22"/>
      <c r="M925" s="22"/>
    </row>
    <row r="926" spans="11:13" ht="14.25" customHeight="1" x14ac:dyDescent="0.25">
      <c r="K926" s="22"/>
      <c r="L926" s="22"/>
      <c r="M926" s="22"/>
    </row>
    <row r="927" spans="11:13" ht="14.25" customHeight="1" x14ac:dyDescent="0.25">
      <c r="K927" s="22"/>
      <c r="L927" s="22"/>
      <c r="M927" s="22"/>
    </row>
    <row r="928" spans="11:13" ht="14.25" customHeight="1" x14ac:dyDescent="0.25">
      <c r="K928" s="22"/>
      <c r="L928" s="22"/>
      <c r="M928" s="22"/>
    </row>
    <row r="929" spans="11:13" ht="14.25" customHeight="1" x14ac:dyDescent="0.25">
      <c r="K929" s="22"/>
      <c r="L929" s="22"/>
      <c r="M929" s="22"/>
    </row>
    <row r="930" spans="11:13" ht="14.25" customHeight="1" x14ac:dyDescent="0.25">
      <c r="K930" s="22"/>
      <c r="L930" s="22"/>
      <c r="M930" s="22"/>
    </row>
    <row r="931" spans="11:13" ht="14.25" customHeight="1" x14ac:dyDescent="0.25">
      <c r="K931" s="22"/>
      <c r="L931" s="22"/>
      <c r="M931" s="22"/>
    </row>
    <row r="932" spans="11:13" ht="14.25" customHeight="1" x14ac:dyDescent="0.25">
      <c r="K932" s="22"/>
      <c r="L932" s="22"/>
      <c r="M932" s="22"/>
    </row>
    <row r="933" spans="11:13" ht="14.25" customHeight="1" x14ac:dyDescent="0.25">
      <c r="K933" s="22"/>
      <c r="L933" s="22"/>
      <c r="M933" s="22"/>
    </row>
    <row r="934" spans="11:13" ht="14.25" customHeight="1" x14ac:dyDescent="0.25">
      <c r="K934" s="22"/>
      <c r="L934" s="22"/>
      <c r="M934" s="22"/>
    </row>
    <row r="935" spans="11:13" ht="14.25" customHeight="1" x14ac:dyDescent="0.25">
      <c r="K935" s="22"/>
      <c r="L935" s="22"/>
      <c r="M935" s="22"/>
    </row>
    <row r="936" spans="11:13" ht="14.25" customHeight="1" x14ac:dyDescent="0.25">
      <c r="K936" s="22"/>
      <c r="L936" s="22"/>
      <c r="M936" s="22"/>
    </row>
    <row r="937" spans="11:13" ht="14.25" customHeight="1" x14ac:dyDescent="0.25">
      <c r="K937" s="22"/>
      <c r="L937" s="22"/>
      <c r="M937" s="22"/>
    </row>
    <row r="938" spans="11:13" ht="14.25" customHeight="1" x14ac:dyDescent="0.25">
      <c r="K938" s="22"/>
      <c r="L938" s="22"/>
      <c r="M938" s="22"/>
    </row>
    <row r="939" spans="11:13" ht="14.25" customHeight="1" x14ac:dyDescent="0.25">
      <c r="K939" s="22"/>
      <c r="L939" s="22"/>
      <c r="M939" s="22"/>
    </row>
    <row r="940" spans="11:13" ht="14.25" customHeight="1" x14ac:dyDescent="0.25">
      <c r="K940" s="22"/>
      <c r="L940" s="22"/>
      <c r="M940" s="22"/>
    </row>
    <row r="941" spans="11:13" ht="14.25" customHeight="1" x14ac:dyDescent="0.25">
      <c r="K941" s="22"/>
      <c r="L941" s="22"/>
      <c r="M941" s="22"/>
    </row>
    <row r="942" spans="11:13" ht="14.25" customHeight="1" x14ac:dyDescent="0.25">
      <c r="K942" s="22"/>
      <c r="L942" s="22"/>
      <c r="M942" s="22"/>
    </row>
    <row r="943" spans="11:13" ht="14.25" customHeight="1" x14ac:dyDescent="0.25">
      <c r="K943" s="22"/>
      <c r="L943" s="22"/>
      <c r="M943" s="22"/>
    </row>
    <row r="944" spans="11:13" ht="14.25" customHeight="1" x14ac:dyDescent="0.25">
      <c r="K944" s="22"/>
      <c r="L944" s="22"/>
      <c r="M944" s="22"/>
    </row>
    <row r="945" spans="11:13" ht="14.25" customHeight="1" x14ac:dyDescent="0.25">
      <c r="K945" s="22"/>
      <c r="L945" s="22"/>
      <c r="M945" s="22"/>
    </row>
    <row r="946" spans="11:13" ht="14.25" customHeight="1" x14ac:dyDescent="0.25">
      <c r="K946" s="22"/>
      <c r="L946" s="22"/>
      <c r="M946" s="22"/>
    </row>
    <row r="947" spans="11:13" ht="14.25" customHeight="1" x14ac:dyDescent="0.25">
      <c r="K947" s="22"/>
      <c r="L947" s="22"/>
      <c r="M947" s="22"/>
    </row>
    <row r="948" spans="11:13" ht="14.25" customHeight="1" x14ac:dyDescent="0.25">
      <c r="K948" s="22"/>
      <c r="L948" s="22"/>
      <c r="M948" s="22"/>
    </row>
    <row r="949" spans="11:13" ht="14.25" customHeight="1" x14ac:dyDescent="0.25">
      <c r="K949" s="22"/>
      <c r="L949" s="22"/>
      <c r="M949" s="22"/>
    </row>
    <row r="950" spans="11:13" ht="14.25" customHeight="1" x14ac:dyDescent="0.25">
      <c r="K950" s="22"/>
      <c r="L950" s="22"/>
      <c r="M950" s="22"/>
    </row>
    <row r="951" spans="11:13" ht="14.25" customHeight="1" x14ac:dyDescent="0.25">
      <c r="K951" s="22"/>
      <c r="L951" s="22"/>
      <c r="M951" s="22"/>
    </row>
    <row r="952" spans="11:13" ht="14.25" customHeight="1" x14ac:dyDescent="0.25">
      <c r="K952" s="22"/>
      <c r="L952" s="22"/>
      <c r="M952" s="22"/>
    </row>
    <row r="953" spans="11:13" ht="14.25" customHeight="1" x14ac:dyDescent="0.25">
      <c r="K953" s="22"/>
      <c r="L953" s="22"/>
      <c r="M953" s="22"/>
    </row>
    <row r="954" spans="11:13" ht="14.25" customHeight="1" x14ac:dyDescent="0.25">
      <c r="K954" s="22"/>
      <c r="L954" s="22"/>
      <c r="M954" s="22"/>
    </row>
    <row r="955" spans="11:13" ht="14.25" customHeight="1" x14ac:dyDescent="0.25">
      <c r="K955" s="22"/>
      <c r="L955" s="22"/>
      <c r="M955" s="22"/>
    </row>
    <row r="956" spans="11:13" ht="14.25" customHeight="1" x14ac:dyDescent="0.25">
      <c r="K956" s="22"/>
      <c r="L956" s="22"/>
      <c r="M956" s="22"/>
    </row>
    <row r="957" spans="11:13" ht="14.25" customHeight="1" x14ac:dyDescent="0.25">
      <c r="K957" s="22"/>
      <c r="L957" s="22"/>
      <c r="M957" s="22"/>
    </row>
    <row r="958" spans="11:13" ht="14.25" customHeight="1" x14ac:dyDescent="0.25">
      <c r="K958" s="22"/>
      <c r="L958" s="22"/>
      <c r="M958" s="22"/>
    </row>
    <row r="959" spans="11:13" ht="14.25" customHeight="1" x14ac:dyDescent="0.25">
      <c r="K959" s="22"/>
      <c r="L959" s="22"/>
      <c r="M959" s="22"/>
    </row>
    <row r="960" spans="11:13" ht="14.25" customHeight="1" x14ac:dyDescent="0.25">
      <c r="K960" s="22"/>
      <c r="L960" s="22"/>
      <c r="M960" s="22"/>
    </row>
    <row r="961" spans="11:13" ht="14.25" customHeight="1" x14ac:dyDescent="0.25">
      <c r="K961" s="22"/>
      <c r="L961" s="22"/>
      <c r="M961" s="22"/>
    </row>
    <row r="962" spans="11:13" ht="14.25" customHeight="1" x14ac:dyDescent="0.25">
      <c r="K962" s="22"/>
      <c r="L962" s="22"/>
      <c r="M962" s="22"/>
    </row>
    <row r="963" spans="11:13" ht="14.25" customHeight="1" x14ac:dyDescent="0.25">
      <c r="K963" s="22"/>
      <c r="L963" s="22"/>
      <c r="M963" s="22"/>
    </row>
    <row r="964" spans="11:13" ht="14.25" customHeight="1" x14ac:dyDescent="0.25">
      <c r="K964" s="22"/>
      <c r="L964" s="22"/>
      <c r="M964" s="22"/>
    </row>
    <row r="965" spans="11:13" ht="14.25" customHeight="1" x14ac:dyDescent="0.25">
      <c r="K965" s="22"/>
      <c r="L965" s="22"/>
      <c r="M965" s="22"/>
    </row>
    <row r="966" spans="11:13" ht="14.25" customHeight="1" x14ac:dyDescent="0.25">
      <c r="K966" s="22"/>
      <c r="L966" s="22"/>
      <c r="M966" s="22"/>
    </row>
    <row r="967" spans="11:13" ht="14.25" customHeight="1" x14ac:dyDescent="0.25">
      <c r="K967" s="22"/>
      <c r="L967" s="22"/>
      <c r="M967" s="22"/>
    </row>
    <row r="968" spans="11:13" ht="14.25" customHeight="1" x14ac:dyDescent="0.25">
      <c r="K968" s="22"/>
      <c r="L968" s="22"/>
      <c r="M968" s="22"/>
    </row>
    <row r="969" spans="11:13" ht="14.25" customHeight="1" x14ac:dyDescent="0.25">
      <c r="K969" s="22"/>
      <c r="L969" s="22"/>
      <c r="M969" s="22"/>
    </row>
    <row r="970" spans="11:13" ht="14.25" customHeight="1" x14ac:dyDescent="0.25">
      <c r="K970" s="22"/>
      <c r="L970" s="22"/>
      <c r="M970" s="22"/>
    </row>
    <row r="971" spans="11:13" ht="14.25" customHeight="1" x14ac:dyDescent="0.25">
      <c r="K971" s="22"/>
      <c r="L971" s="22"/>
      <c r="M971" s="22"/>
    </row>
    <row r="972" spans="11:13" ht="14.25" customHeight="1" x14ac:dyDescent="0.25">
      <c r="K972" s="22"/>
      <c r="L972" s="22"/>
      <c r="M972" s="22"/>
    </row>
    <row r="973" spans="11:13" ht="14.25" customHeight="1" x14ac:dyDescent="0.25">
      <c r="K973" s="22"/>
      <c r="L973" s="22"/>
      <c r="M973" s="22"/>
    </row>
    <row r="974" spans="11:13" ht="14.25" customHeight="1" x14ac:dyDescent="0.25">
      <c r="K974" s="22"/>
      <c r="L974" s="22"/>
      <c r="M974" s="22"/>
    </row>
    <row r="975" spans="11:13" ht="14.25" customHeight="1" x14ac:dyDescent="0.25">
      <c r="K975" s="22"/>
      <c r="L975" s="22"/>
      <c r="M975" s="22"/>
    </row>
    <row r="976" spans="11:13" ht="14.25" customHeight="1" x14ac:dyDescent="0.25">
      <c r="K976" s="22"/>
      <c r="L976" s="22"/>
      <c r="M976" s="22"/>
    </row>
    <row r="977" spans="11:13" ht="14.25" customHeight="1" x14ac:dyDescent="0.25">
      <c r="K977" s="22"/>
      <c r="L977" s="22"/>
      <c r="M977" s="22"/>
    </row>
    <row r="978" spans="11:13" ht="14.25" customHeight="1" x14ac:dyDescent="0.25">
      <c r="K978" s="22"/>
      <c r="L978" s="22"/>
      <c r="M978" s="22"/>
    </row>
    <row r="979" spans="11:13" ht="14.25" customHeight="1" x14ac:dyDescent="0.25">
      <c r="K979" s="22"/>
      <c r="L979" s="22"/>
      <c r="M979" s="22"/>
    </row>
    <row r="980" spans="11:13" ht="14.25" customHeight="1" x14ac:dyDescent="0.25">
      <c r="K980" s="22"/>
      <c r="L980" s="22"/>
      <c r="M980" s="22"/>
    </row>
    <row r="981" spans="11:13" ht="14.25" customHeight="1" x14ac:dyDescent="0.25">
      <c r="K981" s="22"/>
      <c r="L981" s="22"/>
      <c r="M981" s="22"/>
    </row>
    <row r="982" spans="11:13" ht="14.25" customHeight="1" x14ac:dyDescent="0.25">
      <c r="K982" s="22"/>
      <c r="L982" s="22"/>
      <c r="M982" s="22"/>
    </row>
    <row r="983" spans="11:13" ht="14.25" customHeight="1" x14ac:dyDescent="0.25">
      <c r="K983" s="22"/>
      <c r="L983" s="22"/>
      <c r="M983" s="22"/>
    </row>
    <row r="984" spans="11:13" ht="14.25" customHeight="1" x14ac:dyDescent="0.25">
      <c r="K984" s="22"/>
      <c r="L984" s="22"/>
      <c r="M984" s="22"/>
    </row>
    <row r="985" spans="11:13" ht="14.25" customHeight="1" x14ac:dyDescent="0.25">
      <c r="K985" s="22"/>
      <c r="L985" s="22"/>
      <c r="M985" s="22"/>
    </row>
    <row r="986" spans="11:13" ht="14.25" customHeight="1" x14ac:dyDescent="0.25">
      <c r="K986" s="22"/>
      <c r="L986" s="22"/>
      <c r="M986" s="22"/>
    </row>
    <row r="987" spans="11:13" ht="14.25" customHeight="1" x14ac:dyDescent="0.25">
      <c r="K987" s="22"/>
      <c r="L987" s="22"/>
      <c r="M987" s="22"/>
    </row>
    <row r="988" spans="11:13" ht="14.25" customHeight="1" x14ac:dyDescent="0.25">
      <c r="K988" s="22"/>
      <c r="L988" s="22"/>
      <c r="M988" s="22"/>
    </row>
    <row r="989" spans="11:13" ht="14.25" customHeight="1" x14ac:dyDescent="0.25">
      <c r="K989" s="22"/>
      <c r="L989" s="22"/>
      <c r="M989" s="22"/>
    </row>
    <row r="990" spans="11:13" ht="14.25" customHeight="1" x14ac:dyDescent="0.25">
      <c r="K990" s="22"/>
      <c r="L990" s="22"/>
      <c r="M990" s="22"/>
    </row>
    <row r="991" spans="11:13" ht="14.25" customHeight="1" x14ac:dyDescent="0.25">
      <c r="K991" s="22"/>
      <c r="L991" s="22"/>
      <c r="M991" s="22"/>
    </row>
    <row r="992" spans="11:13" ht="14.25" customHeight="1" x14ac:dyDescent="0.25">
      <c r="K992" s="22"/>
      <c r="L992" s="22"/>
      <c r="M992" s="22"/>
    </row>
    <row r="993" spans="11:13" ht="14.25" customHeight="1" x14ac:dyDescent="0.25">
      <c r="K993" s="22"/>
      <c r="L993" s="22"/>
      <c r="M993" s="22"/>
    </row>
    <row r="994" spans="11:13" ht="14.25" customHeight="1" x14ac:dyDescent="0.25">
      <c r="K994" s="22"/>
      <c r="L994" s="22"/>
      <c r="M994" s="22"/>
    </row>
    <row r="995" spans="11:13" ht="14.25" customHeight="1" x14ac:dyDescent="0.25">
      <c r="K995" s="22"/>
      <c r="L995" s="22"/>
      <c r="M995" s="22"/>
    </row>
    <row r="996" spans="11:13" ht="14.25" customHeight="1" x14ac:dyDescent="0.25">
      <c r="K996" s="22"/>
      <c r="L996" s="22"/>
      <c r="M996" s="22"/>
    </row>
    <row r="997" spans="11:13" ht="14.25" customHeight="1" x14ac:dyDescent="0.25">
      <c r="K997" s="22"/>
      <c r="L997" s="22"/>
      <c r="M997" s="22"/>
    </row>
    <row r="998" spans="11:13" ht="14.25" customHeight="1" x14ac:dyDescent="0.25">
      <c r="K998" s="22"/>
      <c r="L998" s="22"/>
      <c r="M998" s="22"/>
    </row>
    <row r="999" spans="11:13" ht="14.25" customHeight="1" x14ac:dyDescent="0.25">
      <c r="K999" s="22"/>
      <c r="L999" s="22"/>
      <c r="M999" s="22"/>
    </row>
    <row r="1000" spans="11:13" ht="14.25" customHeight="1" x14ac:dyDescent="0.25">
      <c r="K1000" s="22"/>
      <c r="L1000" s="22"/>
      <c r="M1000" s="22"/>
    </row>
  </sheetData>
  <mergeCells count="1">
    <mergeCell ref="E1:J1"/>
  </mergeCells>
  <pageMargins left="0.7" right="0.7" top="0.75" bottom="0.75" header="0" footer="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00"/>
  <sheetViews>
    <sheetView tabSelected="1" topLeftCell="A4" workbookViewId="0">
      <selection activeCell="H10" sqref="H10:L21"/>
    </sheetView>
  </sheetViews>
  <sheetFormatPr baseColWidth="10" defaultColWidth="14.42578125" defaultRowHeight="15" customHeight="1" x14ac:dyDescent="0.25"/>
  <cols>
    <col min="1" max="26" width="10.7109375" customWidth="1"/>
  </cols>
  <sheetData>
    <row r="1" spans="1:12" ht="14.25" customHeight="1" x14ac:dyDescent="0.25">
      <c r="A1" s="26" t="s">
        <v>43</v>
      </c>
      <c r="B1" s="27"/>
      <c r="C1" s="27"/>
      <c r="D1" s="27"/>
      <c r="E1" s="27"/>
      <c r="F1" s="27"/>
      <c r="G1" s="27"/>
    </row>
    <row r="2" spans="1:12" ht="14.25" customHeight="1" x14ac:dyDescent="0.25">
      <c r="A2" s="27"/>
      <c r="B2" s="27"/>
      <c r="C2" s="27"/>
      <c r="D2" s="27"/>
      <c r="E2" s="27"/>
      <c r="F2" s="27"/>
      <c r="G2" s="27"/>
    </row>
    <row r="3" spans="1:12" ht="14.25" customHeight="1" x14ac:dyDescent="0.25">
      <c r="A3" s="27"/>
      <c r="B3" s="27"/>
      <c r="C3" s="27"/>
      <c r="D3" s="27"/>
      <c r="E3" s="27"/>
      <c r="F3" s="27"/>
      <c r="G3" s="27"/>
    </row>
    <row r="4" spans="1:12" ht="14.25" customHeight="1" x14ac:dyDescent="0.25">
      <c r="A4" s="27"/>
      <c r="B4" s="27"/>
      <c r="C4" s="27"/>
      <c r="D4" s="27"/>
      <c r="E4" s="27"/>
      <c r="F4" s="27"/>
      <c r="G4" s="27"/>
    </row>
    <row r="5" spans="1:12" ht="14.25" customHeight="1" x14ac:dyDescent="0.25">
      <c r="A5" s="27"/>
      <c r="B5" s="27"/>
      <c r="C5" s="27"/>
      <c r="D5" s="27"/>
      <c r="E5" s="27"/>
      <c r="F5" s="27"/>
      <c r="G5" s="27"/>
    </row>
    <row r="6" spans="1:12" ht="14.25" customHeight="1" x14ac:dyDescent="0.25">
      <c r="A6" s="27"/>
      <c r="B6" s="27"/>
      <c r="C6" s="27"/>
      <c r="D6" s="27"/>
      <c r="E6" s="27"/>
      <c r="F6" s="27"/>
      <c r="G6" s="27"/>
    </row>
    <row r="7" spans="1:12" ht="14.25" customHeight="1" x14ac:dyDescent="0.25">
      <c r="A7" s="27"/>
      <c r="B7" s="27"/>
      <c r="C7" s="27"/>
      <c r="D7" s="27"/>
      <c r="E7" s="27"/>
      <c r="F7" s="27"/>
      <c r="G7" s="27"/>
    </row>
    <row r="8" spans="1:12" ht="14.25" customHeight="1" x14ac:dyDescent="0.25">
      <c r="A8" s="27"/>
      <c r="B8" s="27"/>
      <c r="C8" s="27"/>
      <c r="D8" s="27"/>
      <c r="E8" s="27"/>
      <c r="F8" s="27"/>
      <c r="G8" s="27"/>
    </row>
    <row r="9" spans="1:12" ht="14.25" customHeight="1" x14ac:dyDescent="0.25"/>
    <row r="10" spans="1:12" ht="14.25" customHeight="1" x14ac:dyDescent="0.25">
      <c r="H10" s="28" t="s">
        <v>44</v>
      </c>
      <c r="I10" s="29"/>
      <c r="J10" s="29"/>
      <c r="K10" s="29"/>
      <c r="L10" s="29"/>
    </row>
    <row r="11" spans="1:12" ht="14.25" customHeight="1" x14ac:dyDescent="0.25">
      <c r="H11" s="29"/>
      <c r="I11" s="29"/>
      <c r="J11" s="29"/>
      <c r="K11" s="29"/>
      <c r="L11" s="29"/>
    </row>
    <row r="12" spans="1:12" ht="14.25" customHeight="1" x14ac:dyDescent="0.25">
      <c r="H12" s="29"/>
      <c r="I12" s="29"/>
      <c r="J12" s="29"/>
      <c r="K12" s="29"/>
      <c r="L12" s="29"/>
    </row>
    <row r="13" spans="1:12" ht="14.25" customHeight="1" x14ac:dyDescent="0.25">
      <c r="H13" s="29"/>
      <c r="I13" s="29"/>
      <c r="J13" s="29"/>
      <c r="K13" s="29"/>
      <c r="L13" s="29"/>
    </row>
    <row r="14" spans="1:12" ht="14.25" customHeight="1" x14ac:dyDescent="0.25">
      <c r="H14" s="29"/>
      <c r="I14" s="29"/>
      <c r="J14" s="29"/>
      <c r="K14" s="29"/>
      <c r="L14" s="29"/>
    </row>
    <row r="15" spans="1:12" ht="14.25" customHeight="1" x14ac:dyDescent="0.25">
      <c r="H15" s="29"/>
      <c r="I15" s="29"/>
      <c r="J15" s="29"/>
      <c r="K15" s="29"/>
      <c r="L15" s="29"/>
    </row>
    <row r="16" spans="1:12" ht="14.25" customHeight="1" x14ac:dyDescent="0.25">
      <c r="H16" s="29"/>
      <c r="I16" s="29"/>
      <c r="J16" s="29"/>
      <c r="K16" s="29"/>
      <c r="L16" s="29"/>
    </row>
    <row r="17" spans="8:12" ht="14.25" customHeight="1" x14ac:dyDescent="0.25">
      <c r="H17" s="29"/>
      <c r="I17" s="29"/>
      <c r="J17" s="29"/>
      <c r="K17" s="29"/>
      <c r="L17" s="29"/>
    </row>
    <row r="18" spans="8:12" ht="14.25" customHeight="1" x14ac:dyDescent="0.25">
      <c r="H18" s="29"/>
      <c r="I18" s="29"/>
      <c r="J18" s="29"/>
      <c r="K18" s="29"/>
      <c r="L18" s="29"/>
    </row>
    <row r="19" spans="8:12" ht="14.25" customHeight="1" x14ac:dyDescent="0.25">
      <c r="H19" s="29"/>
      <c r="I19" s="29"/>
      <c r="J19" s="29"/>
      <c r="K19" s="29"/>
      <c r="L19" s="29"/>
    </row>
    <row r="20" spans="8:12" ht="14.25" customHeight="1" x14ac:dyDescent="0.25">
      <c r="H20" s="29"/>
      <c r="I20" s="29"/>
      <c r="J20" s="29"/>
      <c r="K20" s="29"/>
      <c r="L20" s="29"/>
    </row>
    <row r="21" spans="8:12" ht="34.5" customHeight="1" x14ac:dyDescent="0.25">
      <c r="H21" s="29"/>
      <c r="I21" s="29"/>
      <c r="J21" s="29"/>
      <c r="K21" s="29"/>
      <c r="L21" s="29"/>
    </row>
    <row r="22" spans="8:12" ht="14.25" customHeight="1" x14ac:dyDescent="0.25"/>
    <row r="23" spans="8:12" ht="14.25" customHeight="1" x14ac:dyDescent="0.25"/>
    <row r="24" spans="8:12" ht="14.25" customHeight="1" x14ac:dyDescent="0.25"/>
    <row r="25" spans="8:12" ht="14.25" customHeight="1" x14ac:dyDescent="0.25"/>
    <row r="26" spans="8:12" ht="14.25" customHeight="1" x14ac:dyDescent="0.25"/>
    <row r="27" spans="8:12" ht="14.25" customHeight="1" x14ac:dyDescent="0.25"/>
    <row r="28" spans="8:12" ht="14.25" customHeight="1" x14ac:dyDescent="0.25"/>
    <row r="29" spans="8:12" ht="14.25" customHeight="1" x14ac:dyDescent="0.25"/>
    <row r="30" spans="8:12" ht="14.25" customHeight="1" x14ac:dyDescent="0.25"/>
    <row r="31" spans="8:12" ht="14.25" customHeight="1" x14ac:dyDescent="0.25"/>
    <row r="32" spans="8:1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2">
    <mergeCell ref="A1:G8"/>
    <mergeCell ref="H10:L21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Hoja2</vt:lpstr>
      <vt:lpstr>Figuras </vt:lpstr>
      <vt:lpstr>pregunta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EAT</dc:creator>
  <cp:lastModifiedBy>Laura Barona Saavedra</cp:lastModifiedBy>
  <dcterms:created xsi:type="dcterms:W3CDTF">2022-02-21T19:59:14Z</dcterms:created>
  <dcterms:modified xsi:type="dcterms:W3CDTF">2025-09-21T03:27:41Z</dcterms:modified>
</cp:coreProperties>
</file>